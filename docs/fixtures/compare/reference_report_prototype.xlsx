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ll Changes" sheetId="2" state="visible" r:id="rId4"/>
    <sheet name="Sales Register (marked)" sheetId="3" state="visible" r:id="rId5"/>
  </sheets>
  <definedNames>
    <definedName function="false" hidden="true" localSheetId="1" name="_xlnm._FilterDatabase" vbProcedure="false">'All Changes'!$A$3:$I$20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4" authorId="0">
      <text>
        <r>
          <rPr>
            <sz val="10"/>
            <rFont val="Arial"/>
            <family val="2"/>
          </rPr>
          <t xml:space="preserve">Was 29-Sep-2026</t>
        </r>
      </text>
    </comment>
    <comment ref="E9" authorId="0">
      <text>
        <r>
          <rPr>
            <sz val="10"/>
            <rFont val="Arial"/>
            <family val="2"/>
          </rPr>
          <t xml:space="preserve">Was 24AAMFD6041L1Z7</t>
        </r>
      </text>
    </comment>
    <comment ref="H13" authorId="0">
      <text>
        <r>
          <rPr>
            <sz val="10"/>
            <rFont val="Arial"/>
            <family val="2"/>
          </rPr>
          <t xml:space="preserve">Was 90</t>
        </r>
      </text>
    </comment>
    <comment ref="J13" authorId="0">
      <text>
        <r>
          <rPr>
            <sz val="10"/>
            <rFont val="Arial"/>
            <family val="2"/>
          </rPr>
          <t xml:space="preserve">Recalculated. Was ₹37,800</t>
        </r>
      </text>
    </comment>
    <comment ref="K27" authorId="0">
      <text>
        <r>
          <rPr>
            <sz val="10"/>
            <rFont val="Arial"/>
            <family val="2"/>
          </rPr>
          <t xml:space="preserve">Was 18%</t>
        </r>
      </text>
    </comment>
    <comment ref="L13" authorId="0">
      <text>
        <r>
          <rPr>
            <sz val="10"/>
            <rFont val="Arial"/>
            <family val="2"/>
          </rPr>
          <t xml:space="preserve">Recalculated. Was ₹6,804</t>
        </r>
      </text>
    </comment>
    <comment ref="L20" authorId="0">
      <text>
        <r>
          <rPr>
            <sz val="10"/>
            <rFont val="Arial"/>
            <family val="2"/>
          </rPr>
          <t xml:space="preserve">Was ₹1,036.80
Formula was =I18*J18</t>
        </r>
      </text>
    </comment>
    <comment ref="L27" authorId="0">
      <text>
        <r>
          <rPr>
            <sz val="10"/>
            <rFont val="Arial"/>
            <family val="2"/>
          </rPr>
          <t xml:space="preserve">Recalculated. Was ₹21,060</t>
        </r>
      </text>
    </comment>
    <comment ref="M13" authorId="0">
      <text>
        <r>
          <rPr>
            <sz val="10"/>
            <rFont val="Arial"/>
            <family val="2"/>
          </rPr>
          <t xml:space="preserve">Recalculated. Was ₹44,604</t>
        </r>
      </text>
    </comment>
    <comment ref="M20" authorId="0">
      <text>
        <r>
          <rPr>
            <sz val="10"/>
            <rFont val="Arial"/>
            <family val="2"/>
          </rPr>
          <t xml:space="preserve">Recalculated. Was ₹6,796.80</t>
        </r>
      </text>
    </comment>
    <comment ref="M27" authorId="0">
      <text>
        <r>
          <rPr>
            <sz val="10"/>
            <rFont val="Arial"/>
            <family val="2"/>
          </rPr>
          <t xml:space="preserve">Recalculated. Was ₹1,38,060</t>
        </r>
      </text>
    </comment>
  </commentList>
</comments>
</file>

<file path=xl/sharedStrings.xml><?xml version="1.0" encoding="utf-8"?>
<sst xmlns="http://schemas.openxmlformats.org/spreadsheetml/2006/main" count="371" uniqueCount="194">
  <si>
    <t xml:space="preserve">SheetDiff report</t>
  </si>
  <si>
    <t xml:space="preserve">Generated in the browser — your files were not uploaded anywhere.</t>
  </si>
  <si>
    <t xml:space="preserve">Old file</t>
  </si>
  <si>
    <t xml:space="preserve">Sales_Register_Sep2026_v1.xlsx</t>
  </si>
  <si>
    <t xml:space="preserve">New file</t>
  </si>
  <si>
    <t xml:space="preserve">Sales_Register_Sep2026_FINAL.xlsx</t>
  </si>
  <si>
    <t xml:space="preserve">Rows matched by</t>
  </si>
  <si>
    <t xml:space="preserve">Invoice No (auto-detected: unique in both files)</t>
  </si>
  <si>
    <t xml:space="preserve">At a glance</t>
  </si>
  <si>
    <t xml:space="preserve">Needs your attention (High)</t>
  </si>
  <si>
    <t xml:space="preserve">Review (Medium)</t>
  </si>
  <si>
    <t xml:space="preserve">For information</t>
  </si>
  <si>
    <t xml:space="preserve">Rows added</t>
  </si>
  <si>
    <t xml:space="preserve">Rows removed</t>
  </si>
  <si>
    <t xml:space="preserve">Cells edited by hand</t>
  </si>
  <si>
    <t xml:space="preserve">Formulas overwritten with typed numbers</t>
  </si>
  <si>
    <t xml:space="preserve">A basic cell-by-cell compare would flag</t>
  </si>
  <si>
    <t xml:space="preserve">89 cells</t>
  </si>
  <si>
    <t xml:space="preserve">(because one inserted row shifts every row below it)</t>
  </si>
  <si>
    <t xml:space="preserve">Needs your attention</t>
  </si>
  <si>
    <t xml:space="preserve">⚠ INV-1015 — Formula replaced by a typed number</t>
  </si>
  <si>
    <t xml:space="preserve">Someone typed ₹1,063.80 over the formula. The correct value is ₹1,036.80 (digits look swapped), so GST is off by ₹27. This cell will also stop updating if Qty or Rate change.</t>
  </si>
  <si>
    <t xml:space="preserve">⚠ INV-1031 — Totals don't include a row</t>
  </si>
  <si>
    <t xml:space="preserve">INV-1031 (₹66,906) was added at the bottom, but the Summary formulas were not extended. GST payable is understated by ₹10,206 and the invoice count still says 29 instead of 30.</t>
  </si>
  <si>
    <t xml:space="preserve">⚠ INV-1019 — Removed row also has a new credit note</t>
  </si>
  <si>
    <t xml:space="preserve">INV-1019 was deleted from the register AND a credit note was added against it. If both are filed, this sale is reduced twice. Keep one, not both.</t>
  </si>
  <si>
    <t xml:space="preserve">⚠ INV-1029 — Date moved outside September</t>
  </si>
  <si>
    <t xml:space="preserve">This invoice now falls in Oct-2026. It should not be in the September return (₹1,46,674) — or the new date is a typo.</t>
  </si>
  <si>
    <t xml:space="preserve">Effect on the GSTR-1 Summary</t>
  </si>
  <si>
    <t xml:space="preserve">Particulars</t>
  </si>
  <si>
    <t xml:space="preserve">New file shows</t>
  </si>
  <si>
    <t xml:space="preserve">Should be (all rows)</t>
  </si>
  <si>
    <t xml:space="preserve">Gap</t>
  </si>
  <si>
    <t xml:space="preserve">Number of invoices</t>
  </si>
  <si>
    <t xml:space="preserve">Total taxable value (₹)</t>
  </si>
  <si>
    <t xml:space="preserve">Taxable value @ 5% (₹)</t>
  </si>
  <si>
    <t xml:space="preserve">Taxable value @ 18% (₹)</t>
  </si>
  <si>
    <t xml:space="preserve">Total GST payable (₹)</t>
  </si>
  <si>
    <t xml:space="preserve">Total invoice value (₹)</t>
  </si>
  <si>
    <t xml:space="preserve">Gap = what the Summary misses because its totals stop one row early.</t>
  </si>
  <si>
    <t xml:space="preserve">All changes — most important first</t>
  </si>
  <si>
    <t xml:space="preserve">#</t>
  </si>
  <si>
    <t xml:space="preserve">Risk</t>
  </si>
  <si>
    <t xml:space="preserve">Where</t>
  </si>
  <si>
    <t xml:space="preserve">Invoice / Row</t>
  </si>
  <si>
    <t xml:space="preserve">Column</t>
  </si>
  <si>
    <t xml:space="preserve">What changed</t>
  </si>
  <si>
    <t xml:space="preserve">Old</t>
  </si>
  <si>
    <t xml:space="preserve">New</t>
  </si>
  <si>
    <t xml:space="preserve">What it means</t>
  </si>
  <si>
    <t xml:space="preserve">High</t>
  </si>
  <si>
    <t xml:space="preserve">Sales Register</t>
  </si>
  <si>
    <t xml:space="preserve">INV-1015</t>
  </si>
  <si>
    <t xml:space="preserve">GST Amount (₹)</t>
  </si>
  <si>
    <t xml:space="preserve">Formula replaced by a typed number</t>
  </si>
  <si>
    <t xml:space="preserve">formula =I18*J18 = ₹1,036.80</t>
  </si>
  <si>
    <t xml:space="preserve">typed ₹1,063.80</t>
  </si>
  <si>
    <t xml:space="preserve">Summary</t>
  </si>
  <si>
    <t xml:space="preserve">INV-1031</t>
  </si>
  <si>
    <t xml:space="preserve">All totals</t>
  </si>
  <si>
    <t xml:space="preserve">Totals don't include a row</t>
  </si>
  <si>
    <t xml:space="preserve">6 total formulas end at row 33</t>
  </si>
  <si>
    <t xml:space="preserve">INV-1031 is on row 34</t>
  </si>
  <si>
    <t xml:space="preserve">Credit Notes</t>
  </si>
  <si>
    <t xml:space="preserve">INV-1019</t>
  </si>
  <si>
    <t xml:space="preserve">—</t>
  </si>
  <si>
    <t xml:space="preserve">Removed row also has a new credit note</t>
  </si>
  <si>
    <t xml:space="preserve">INV-1019 in register (₹49,064.40)</t>
  </si>
  <si>
    <t xml:space="preserve">removed + credit note added in 'Credit Notes'</t>
  </si>
  <si>
    <t xml:space="preserve">INV-1029</t>
  </si>
  <si>
    <t xml:space="preserve">Invoice Date</t>
  </si>
  <si>
    <t xml:space="preserve">Date moved outside September</t>
  </si>
  <si>
    <t xml:space="preserve">29-Sep-2026</t>
  </si>
  <si>
    <t xml:space="preserve">02-Oct-2026</t>
  </si>
  <si>
    <t xml:space="preserve">Medium</t>
  </si>
  <si>
    <t xml:space="preserve">INV-1004</t>
  </si>
  <si>
    <t xml:space="preserve">Customer GSTIN</t>
  </si>
  <si>
    <t xml:space="preserve">Customer GSTIN changed</t>
  </si>
  <si>
    <t xml:space="preserve">24AAMFD6041L1Z7</t>
  </si>
  <si>
    <t xml:space="preserve">24AAMFD6041L1Z8</t>
  </si>
  <si>
    <t xml:space="preserve">One character changed (7 → 8). Desai Traders's other invoices still use 24AAMFD6041L1Z7, so this is probably a typo — the GST credit would go to the wrong business.</t>
  </si>
  <si>
    <t xml:space="preserve">INV-1008</t>
  </si>
  <si>
    <t xml:space="preserve">Qty</t>
  </si>
  <si>
    <t xml:space="preserve">Qty changed</t>
  </si>
  <si>
    <t xml:space="preserve">90</t>
  </si>
  <si>
    <t xml:space="preserve">45</t>
  </si>
  <si>
    <t xml:space="preserve">Invoice total changes from ₹44,604 to ₹22,302.</t>
  </si>
  <si>
    <t xml:space="preserve">INV-1022</t>
  </si>
  <si>
    <t xml:space="preserve">GST %</t>
  </si>
  <si>
    <t xml:space="preserve">GST % changed</t>
  </si>
  <si>
    <t xml:space="preserve">18%</t>
  </si>
  <si>
    <t xml:space="preserve">5%</t>
  </si>
  <si>
    <t xml:space="preserve">GST on this invoice drops from ₹21,060 to ₹5,850. Confirm the correct rate for this item.</t>
  </si>
  <si>
    <t xml:space="preserve">INV-1013</t>
  </si>
  <si>
    <t xml:space="preserve">Whole row</t>
  </si>
  <si>
    <t xml:space="preserve">Row added</t>
  </si>
  <si>
    <t xml:space="preserve">Trivedi Infra Projects, ₹1,66,675</t>
  </si>
  <si>
    <t xml:space="preserve">New invoice in the FINAL file (it was missing from the first version).</t>
  </si>
  <si>
    <t xml:space="preserve">Shah Electricals, ₹66,906</t>
  </si>
  <si>
    <t xml:space="preserve">New invoice added at the bottom (see the High warning — totals skip it).</t>
  </si>
  <si>
    <t xml:space="preserve">Row removed</t>
  </si>
  <si>
    <t xml:space="preserve">Shah Electricals, ₹49,064.40</t>
  </si>
  <si>
    <t xml:space="preserve">Invoice no longer in the register.</t>
  </si>
  <si>
    <t xml:space="preserve">Info</t>
  </si>
  <si>
    <t xml:space="preserve">Sheet added</t>
  </si>
  <si>
    <t xml:space="preserve">'Credit Notes'</t>
  </si>
  <si>
    <t xml:space="preserve">A new sheet exists only in the FINAL file.</t>
  </si>
  <si>
    <t xml:space="preserve">Taxable Value (₹)</t>
  </si>
  <si>
    <t xml:space="preserve">Recalculated automatically</t>
  </si>
  <si>
    <t xml:space="preserve">₹37,800</t>
  </si>
  <si>
    <t xml:space="preserve">₹18,900</t>
  </si>
  <si>
    <t xml:space="preserve">Formula unchanged; value moved because an input on this row changed.</t>
  </si>
  <si>
    <t xml:space="preserve">₹6,804</t>
  </si>
  <si>
    <t xml:space="preserve">₹3,402</t>
  </si>
  <si>
    <t xml:space="preserve">Invoice Total (₹)</t>
  </si>
  <si>
    <t xml:space="preserve">₹44,604</t>
  </si>
  <si>
    <t xml:space="preserve">₹22,302</t>
  </si>
  <si>
    <t xml:space="preserve">₹6,796.80</t>
  </si>
  <si>
    <t xml:space="preserve">₹6,823.80</t>
  </si>
  <si>
    <t xml:space="preserve">₹21,060</t>
  </si>
  <si>
    <t xml:space="preserve">₹5,850</t>
  </si>
  <si>
    <t xml:space="preserve">₹1,38,060</t>
  </si>
  <si>
    <t xml:space="preserve">₹1,22,850</t>
  </si>
  <si>
    <t xml:space="preserve">Sales Register — FINAL file, with changes marked</t>
  </si>
  <si>
    <t xml:space="preserve">Legend:</t>
  </si>
  <si>
    <t xml:space="preserve">Added row</t>
  </si>
  <si>
    <t xml:space="preserve">Removed row</t>
  </si>
  <si>
    <t xml:space="preserve">Edited by hand</t>
  </si>
  <si>
    <t xml:space="preserve">High risk</t>
  </si>
  <si>
    <t xml:space="preserve">Recalculated</t>
  </si>
  <si>
    <t xml:space="preserve">Hover a highlighted cell to see its old value.</t>
  </si>
  <si>
    <t xml:space="preserve">Status</t>
  </si>
  <si>
    <t xml:space="preserve">Invoice No</t>
  </si>
  <si>
    <t xml:space="preserve">Customer Name</t>
  </si>
  <si>
    <t xml:space="preserve">Item</t>
  </si>
  <si>
    <t xml:space="preserve">HSN</t>
  </si>
  <si>
    <t xml:space="preserve">Rate (₹)</t>
  </si>
  <si>
    <t xml:space="preserve">INV-1001</t>
  </si>
  <si>
    <t xml:space="preserve">Joshi Enterprises</t>
  </si>
  <si>
    <t xml:space="preserve">24AFJPJ1188B1Z2</t>
  </si>
  <si>
    <t xml:space="preserve">Jute Sacks (bundle of 50)</t>
  </si>
  <si>
    <t xml:space="preserve">6305</t>
  </si>
  <si>
    <t xml:space="preserve">INV-1002</t>
  </si>
  <si>
    <t xml:space="preserve">Bhatt &amp; Sons</t>
  </si>
  <si>
    <t xml:space="preserve">24AAGFB2267C1Z1</t>
  </si>
  <si>
    <t xml:space="preserve">Modular Switch 6A</t>
  </si>
  <si>
    <t xml:space="preserve">8536</t>
  </si>
  <si>
    <t xml:space="preserve">INV-1003</t>
  </si>
  <si>
    <t xml:space="preserve">Shah Electricals</t>
  </si>
  <si>
    <t xml:space="preserve">24ABCPS7712Q1ZK</t>
  </si>
  <si>
    <t xml:space="preserve">Copper Wire 1.5 sq mm (coil)</t>
  </si>
  <si>
    <t xml:space="preserve">8544</t>
  </si>
  <si>
    <t xml:space="preserve">Changed</t>
  </si>
  <si>
    <t xml:space="preserve">Desai Traders</t>
  </si>
  <si>
    <t xml:space="preserve">Door Hinges 4in (pair)</t>
  </si>
  <si>
    <t xml:space="preserve">8302</t>
  </si>
  <si>
    <t xml:space="preserve">INV-1005</t>
  </si>
  <si>
    <t xml:space="preserve">Trivedi Infra Projects</t>
  </si>
  <si>
    <t xml:space="preserve">24AAHCT9034R1Z6</t>
  </si>
  <si>
    <t xml:space="preserve">Exterior Emulsion 20L</t>
  </si>
  <si>
    <t xml:space="preserve">3208</t>
  </si>
  <si>
    <t xml:space="preserve">INV-1006</t>
  </si>
  <si>
    <t xml:space="preserve">Mehta Building Supplies</t>
  </si>
  <si>
    <t xml:space="preserve">24AADFM3390H1Z9</t>
  </si>
  <si>
    <t xml:space="preserve">Wall Putty 40kg</t>
  </si>
  <si>
    <t xml:space="preserve">3214</t>
  </si>
  <si>
    <t xml:space="preserve">INV-1007</t>
  </si>
  <si>
    <t xml:space="preserve">Rathod Paints &amp; Hardware</t>
  </si>
  <si>
    <t xml:space="preserve">24ACQPR5529N1ZB</t>
  </si>
  <si>
    <t xml:space="preserve">PVC Conduit Pipe 25mm</t>
  </si>
  <si>
    <t xml:space="preserve">3917</t>
  </si>
  <si>
    <t xml:space="preserve">Patel Hardware Stores</t>
  </si>
  <si>
    <t xml:space="preserve">24AAKFP4521M1Z3</t>
  </si>
  <si>
    <t xml:space="preserve">SS Screws 50mm (box)</t>
  </si>
  <si>
    <t xml:space="preserve">7318</t>
  </si>
  <si>
    <t xml:space="preserve">INV-1009</t>
  </si>
  <si>
    <t xml:space="preserve">INV-1010</t>
  </si>
  <si>
    <t xml:space="preserve">INV-1011</t>
  </si>
  <si>
    <t xml:space="preserve">INV-1012</t>
  </si>
  <si>
    <t xml:space="preserve">Added</t>
  </si>
  <si>
    <t xml:space="preserve">INV-1014</t>
  </si>
  <si>
    <t xml:space="preserve">INV-1016</t>
  </si>
  <si>
    <t xml:space="preserve">INV-1017</t>
  </si>
  <si>
    <t xml:space="preserve">INV-1018</t>
  </si>
  <si>
    <t xml:space="preserve">Removed</t>
  </si>
  <si>
    <t xml:space="preserve">INV-1020</t>
  </si>
  <si>
    <t xml:space="preserve">INV-1021</t>
  </si>
  <si>
    <t xml:space="preserve">INV-1023</t>
  </si>
  <si>
    <t xml:space="preserve">INV-1024</t>
  </si>
  <si>
    <t xml:space="preserve">INV-1025</t>
  </si>
  <si>
    <t xml:space="preserve">INV-1026</t>
  </si>
  <si>
    <t xml:space="preserve">INV-1027</t>
  </si>
  <si>
    <t xml:space="preserve">INV-1028</t>
  </si>
  <si>
    <t xml:space="preserve">INV-1030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</si>
</sst>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"/>
    <numFmt numFmtId="167" formatCode="0;\-0;\-"/>
    <numFmt numFmtId="168" formatCode="[&gt;=10000000]\₹##\,##\,##\,##0;[&gt;=100000]\₹##\,##\,##0;\₹##,##0"/>
    <numFmt numFmtId="169" formatCode="[&gt;=10000000]\₹##\,##\,##\,##0;[&gt;=100000]\₹##\,##\,##0;\₹##,##0;\-"/>
    <numFmt numFmtId="170" formatCode="dd\-mmm\-yyyy"/>
    <numFmt numFmtId="171" formatCode="#,##0.00"/>
    <numFmt numFmtId="172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trike val="true"/>
      <sz val="10"/>
      <color rgb="FF7F7F7F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DDEBF7"/>
        <bgColor rgb="FFE7E6E6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FFE7E6E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7E6E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8" customFormat="false" ht="15" hidden="false" customHeight="false" outlineLevel="0" collapsed="false">
      <c r="A8" s="5" t="s">
        <v>8</v>
      </c>
    </row>
    <row r="9" customFormat="false" ht="15" hidden="false" customHeight="false" outlineLevel="0" collapsed="false">
      <c r="A9" s="4" t="s">
        <v>9</v>
      </c>
      <c r="B9" s="6" t="n">
        <f aca="false">COUNTIF('All Changes'!B4:B20,"High")</f>
        <v>4</v>
      </c>
    </row>
    <row r="10" customFormat="false" ht="15" hidden="false" customHeight="false" outlineLevel="0" collapsed="false">
      <c r="A10" s="4" t="s">
        <v>10</v>
      </c>
      <c r="B10" s="7" t="n">
        <f aca="false">COUNTIF('All Changes'!B4:B20,"Medium")</f>
        <v>6</v>
      </c>
    </row>
    <row r="11" customFormat="false" ht="15" hidden="false" customHeight="false" outlineLevel="0" collapsed="false">
      <c r="A11" s="4" t="s">
        <v>11</v>
      </c>
      <c r="B11" s="8" t="n">
        <f aca="false">COUNTIF('All Changes'!B4:B20,"Info")</f>
        <v>7</v>
      </c>
    </row>
    <row r="12" customFormat="false" ht="15" hidden="false" customHeight="false" outlineLevel="0" collapsed="false">
      <c r="A12" s="4" t="s">
        <v>12</v>
      </c>
      <c r="B12" s="9" t="n">
        <f aca="false">COUNTIF('All Changes'!F4:F20,"Row added")</f>
        <v>2</v>
      </c>
    </row>
    <row r="13" customFormat="false" ht="15" hidden="false" customHeight="false" outlineLevel="0" collapsed="false">
      <c r="A13" s="4" t="s">
        <v>13</v>
      </c>
      <c r="B13" s="9" t="n">
        <f aca="false">COUNTIF('All Changes'!F4:F20,"Row removed")</f>
        <v>1</v>
      </c>
    </row>
    <row r="14" customFormat="false" ht="15" hidden="false" customHeight="false" outlineLevel="0" collapsed="false">
      <c r="A14" s="4" t="s">
        <v>14</v>
      </c>
      <c r="B14" s="9" t="n">
        <f aca="false">COUNTIF('All Changes'!F4:F20,"*changed")+COUNTIF('All Changes'!F4:F20,"Date moved*")</f>
        <v>4</v>
      </c>
    </row>
    <row r="15" customFormat="false" ht="15" hidden="false" customHeight="false" outlineLevel="0" collapsed="false">
      <c r="A15" s="4" t="s">
        <v>15</v>
      </c>
      <c r="B15" s="9" t="n">
        <f aca="false">COUNTIF('All Changes'!F4:F20,"Formula replaced*")</f>
        <v>1</v>
      </c>
    </row>
    <row r="16" customFormat="false" ht="15" hidden="false" customHeight="false" outlineLevel="0" collapsed="false">
      <c r="A16" s="10" t="s">
        <v>16</v>
      </c>
      <c r="B16" s="10" t="s">
        <v>17</v>
      </c>
    </row>
    <row r="17" customFormat="false" ht="15" hidden="false" customHeight="false" outlineLevel="0" collapsed="false">
      <c r="A17" s="2" t="s">
        <v>18</v>
      </c>
    </row>
    <row r="19" customFormat="false" ht="15" hidden="false" customHeight="false" outlineLevel="0" collapsed="false">
      <c r="A19" s="5" t="s">
        <v>19</v>
      </c>
    </row>
    <row r="20" customFormat="false" ht="45" hidden="false" customHeight="true" outlineLevel="0" collapsed="false">
      <c r="A20" s="11" t="s">
        <v>20</v>
      </c>
      <c r="B20" s="12" t="s">
        <v>21</v>
      </c>
      <c r="C20" s="12"/>
      <c r="D20" s="12"/>
      <c r="E20" s="12"/>
    </row>
    <row r="21" customFormat="false" ht="45" hidden="false" customHeight="true" outlineLevel="0" collapsed="false">
      <c r="A21" s="11" t="s">
        <v>22</v>
      </c>
      <c r="B21" s="12" t="s">
        <v>23</v>
      </c>
      <c r="C21" s="12"/>
      <c r="D21" s="12"/>
      <c r="E21" s="12"/>
    </row>
    <row r="22" customFormat="false" ht="45" hidden="false" customHeight="true" outlineLevel="0" collapsed="false">
      <c r="A22" s="11" t="s">
        <v>24</v>
      </c>
      <c r="B22" s="12" t="s">
        <v>25</v>
      </c>
      <c r="C22" s="12"/>
      <c r="D22" s="12"/>
      <c r="E22" s="12"/>
    </row>
    <row r="23" customFormat="false" ht="45" hidden="false" customHeight="true" outlineLevel="0" collapsed="false">
      <c r="A23" s="11" t="s">
        <v>26</v>
      </c>
      <c r="B23" s="12" t="s">
        <v>27</v>
      </c>
      <c r="C23" s="12"/>
      <c r="D23" s="12"/>
      <c r="E23" s="12"/>
    </row>
    <row r="25" customFormat="false" ht="15" hidden="false" customHeight="false" outlineLevel="0" collapsed="false">
      <c r="A25" s="5" t="s">
        <v>28</v>
      </c>
    </row>
    <row r="26" customFormat="false" ht="15" hidden="false" customHeight="false" outlineLevel="0" collapsed="false">
      <c r="A26" s="13" t="s">
        <v>29</v>
      </c>
      <c r="B26" s="13" t="s">
        <v>2</v>
      </c>
      <c r="C26" s="13" t="s">
        <v>30</v>
      </c>
      <c r="D26" s="13" t="s">
        <v>31</v>
      </c>
      <c r="E26" s="13" t="s">
        <v>32</v>
      </c>
    </row>
    <row r="27" customFormat="false" ht="15" hidden="false" customHeight="false" outlineLevel="0" collapsed="false">
      <c r="A27" s="14" t="s">
        <v>33</v>
      </c>
      <c r="B27" s="15" t="n">
        <v>29</v>
      </c>
      <c r="C27" s="15" t="n">
        <v>29</v>
      </c>
      <c r="D27" s="15" t="n">
        <v>30</v>
      </c>
      <c r="E27" s="16" t="n">
        <f aca="false">D27-C27</f>
        <v>1</v>
      </c>
    </row>
    <row r="28" customFormat="false" ht="15" hidden="false" customHeight="false" outlineLevel="0" collapsed="false">
      <c r="A28" s="14" t="s">
        <v>34</v>
      </c>
      <c r="B28" s="17" t="n">
        <v>1337004</v>
      </c>
      <c r="C28" s="17" t="n">
        <v>1417774</v>
      </c>
      <c r="D28" s="17" t="n">
        <v>1474474</v>
      </c>
      <c r="E28" s="18" t="n">
        <f aca="false">D28-C28</f>
        <v>56700</v>
      </c>
    </row>
    <row r="29" customFormat="false" ht="15" hidden="false" customHeight="false" outlineLevel="0" collapsed="false">
      <c r="A29" s="14" t="s">
        <v>35</v>
      </c>
      <c r="B29" s="17" t="n">
        <v>175000</v>
      </c>
      <c r="C29" s="17" t="n">
        <v>292000</v>
      </c>
      <c r="D29" s="17" t="n">
        <v>292000</v>
      </c>
      <c r="E29" s="18" t="n">
        <f aca="false">D29-C29</f>
        <v>0</v>
      </c>
    </row>
    <row r="30" customFormat="false" ht="15" hidden="false" customHeight="false" outlineLevel="0" collapsed="false">
      <c r="A30" s="14" t="s">
        <v>36</v>
      </c>
      <c r="B30" s="17" t="n">
        <v>1162004</v>
      </c>
      <c r="C30" s="17" t="n">
        <v>1125774</v>
      </c>
      <c r="D30" s="17" t="n">
        <v>1182474</v>
      </c>
      <c r="E30" s="18" t="n">
        <f aca="false">D30-C30</f>
        <v>56700</v>
      </c>
    </row>
    <row r="31" customFormat="false" ht="15" hidden="false" customHeight="false" outlineLevel="0" collapsed="false">
      <c r="A31" s="14" t="s">
        <v>37</v>
      </c>
      <c r="B31" s="17" t="n">
        <v>217910.72</v>
      </c>
      <c r="C31" s="17" t="n">
        <v>217266.32</v>
      </c>
      <c r="D31" s="17" t="n">
        <v>227472.32</v>
      </c>
      <c r="E31" s="18" t="n">
        <f aca="false">D31-C31</f>
        <v>10206</v>
      </c>
    </row>
    <row r="32" customFormat="false" ht="15" hidden="false" customHeight="false" outlineLevel="0" collapsed="false">
      <c r="A32" s="14" t="s">
        <v>38</v>
      </c>
      <c r="B32" s="17" t="n">
        <v>1554914.72</v>
      </c>
      <c r="C32" s="17" t="n">
        <v>1635040.32</v>
      </c>
      <c r="D32" s="17" t="n">
        <v>1701946.32</v>
      </c>
      <c r="E32" s="18" t="n">
        <f aca="false">D32-C32</f>
        <v>66906</v>
      </c>
    </row>
    <row r="33" customFormat="false" ht="15" hidden="false" customHeight="false" outlineLevel="0" collapsed="false">
      <c r="A33" s="2" t="s">
        <v>39</v>
      </c>
    </row>
  </sheetData>
  <mergeCells count="4">
    <mergeCell ref="B20:E20"/>
    <mergeCell ref="B21:E21"/>
    <mergeCell ref="B22:E22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7" min="6" style="0" width="30"/>
    <col collapsed="false" customWidth="true" hidden="false" outlineLevel="0" max="8" min="8" style="0" width="26"/>
    <col collapsed="false" customWidth="true" hidden="false" outlineLevel="0" max="9" min="9" style="0" width="70"/>
  </cols>
  <sheetData>
    <row r="1" customFormat="false" ht="16.15" hidden="false" customHeight="false" outlineLevel="0" collapsed="false">
      <c r="A1" s="19" t="s">
        <v>40</v>
      </c>
    </row>
    <row r="3" customFormat="false" ht="15" hidden="false" customHeight="false" outlineLevel="0" collapsed="false">
      <c r="A3" s="13" t="s">
        <v>41</v>
      </c>
      <c r="B3" s="13" t="s">
        <v>42</v>
      </c>
      <c r="C3" s="13" t="s">
        <v>43</v>
      </c>
      <c r="D3" s="13" t="s">
        <v>44</v>
      </c>
      <c r="E3" s="13" t="s">
        <v>45</v>
      </c>
      <c r="F3" s="13" t="s">
        <v>46</v>
      </c>
      <c r="G3" s="13" t="s">
        <v>47</v>
      </c>
      <c r="H3" s="13" t="s">
        <v>48</v>
      </c>
      <c r="I3" s="13" t="s">
        <v>49</v>
      </c>
    </row>
    <row r="4" customFormat="false" ht="23.85" hidden="false" customHeight="false" outlineLevel="0" collapsed="false">
      <c r="A4" s="20" t="n">
        <v>1</v>
      </c>
      <c r="B4" s="21" t="s">
        <v>50</v>
      </c>
      <c r="C4" s="20" t="s">
        <v>51</v>
      </c>
      <c r="D4" s="20" t="s">
        <v>52</v>
      </c>
      <c r="E4" s="20" t="s">
        <v>53</v>
      </c>
      <c r="F4" s="20" t="s">
        <v>54</v>
      </c>
      <c r="G4" s="20" t="s">
        <v>55</v>
      </c>
      <c r="H4" s="20" t="s">
        <v>56</v>
      </c>
      <c r="I4" s="20" t="s">
        <v>21</v>
      </c>
    </row>
    <row r="5" customFormat="false" ht="35.05" hidden="false" customHeight="false" outlineLevel="0" collapsed="false">
      <c r="A5" s="20" t="n">
        <v>2</v>
      </c>
      <c r="B5" s="21" t="s">
        <v>50</v>
      </c>
      <c r="C5" s="20" t="s">
        <v>57</v>
      </c>
      <c r="D5" s="20" t="s">
        <v>58</v>
      </c>
      <c r="E5" s="20" t="s">
        <v>59</v>
      </c>
      <c r="F5" s="20" t="s">
        <v>60</v>
      </c>
      <c r="G5" s="20" t="s">
        <v>61</v>
      </c>
      <c r="H5" s="20" t="s">
        <v>62</v>
      </c>
      <c r="I5" s="20" t="s">
        <v>23</v>
      </c>
    </row>
    <row r="6" customFormat="false" ht="23.85" hidden="false" customHeight="false" outlineLevel="0" collapsed="false">
      <c r="A6" s="20" t="n">
        <v>3</v>
      </c>
      <c r="B6" s="21" t="s">
        <v>50</v>
      </c>
      <c r="C6" s="20" t="s">
        <v>63</v>
      </c>
      <c r="D6" s="20" t="s">
        <v>64</v>
      </c>
      <c r="E6" s="20" t="s">
        <v>65</v>
      </c>
      <c r="F6" s="20" t="s">
        <v>66</v>
      </c>
      <c r="G6" s="20" t="s">
        <v>67</v>
      </c>
      <c r="H6" s="20" t="s">
        <v>68</v>
      </c>
      <c r="I6" s="20" t="s">
        <v>25</v>
      </c>
    </row>
    <row r="7" customFormat="false" ht="23.85" hidden="false" customHeight="false" outlineLevel="0" collapsed="false">
      <c r="A7" s="20" t="n">
        <v>4</v>
      </c>
      <c r="B7" s="21" t="s">
        <v>50</v>
      </c>
      <c r="C7" s="20" t="s">
        <v>51</v>
      </c>
      <c r="D7" s="20" t="s">
        <v>69</v>
      </c>
      <c r="E7" s="20" t="s">
        <v>70</v>
      </c>
      <c r="F7" s="20" t="s">
        <v>71</v>
      </c>
      <c r="G7" s="20" t="s">
        <v>72</v>
      </c>
      <c r="H7" s="20" t="s">
        <v>73</v>
      </c>
      <c r="I7" s="20" t="s">
        <v>27</v>
      </c>
    </row>
    <row r="8" customFormat="false" ht="35.05" hidden="false" customHeight="false" outlineLevel="0" collapsed="false">
      <c r="A8" s="20" t="n">
        <v>5</v>
      </c>
      <c r="B8" s="22" t="s">
        <v>74</v>
      </c>
      <c r="C8" s="20" t="s">
        <v>51</v>
      </c>
      <c r="D8" s="20" t="s">
        <v>75</v>
      </c>
      <c r="E8" s="20" t="s">
        <v>76</v>
      </c>
      <c r="F8" s="20" t="s">
        <v>77</v>
      </c>
      <c r="G8" s="20" t="s">
        <v>78</v>
      </c>
      <c r="H8" s="20" t="s">
        <v>79</v>
      </c>
      <c r="I8" s="20" t="s">
        <v>80</v>
      </c>
    </row>
    <row r="9" customFormat="false" ht="15" hidden="false" customHeight="false" outlineLevel="0" collapsed="false">
      <c r="A9" s="20" t="n">
        <v>6</v>
      </c>
      <c r="B9" s="22" t="s">
        <v>74</v>
      </c>
      <c r="C9" s="20" t="s">
        <v>51</v>
      </c>
      <c r="D9" s="20" t="s">
        <v>81</v>
      </c>
      <c r="E9" s="20" t="s">
        <v>82</v>
      </c>
      <c r="F9" s="20" t="s">
        <v>83</v>
      </c>
      <c r="G9" s="20" t="s">
        <v>84</v>
      </c>
      <c r="H9" s="20" t="s">
        <v>85</v>
      </c>
      <c r="I9" s="20" t="s">
        <v>86</v>
      </c>
    </row>
    <row r="10" customFormat="false" ht="23.85" hidden="false" customHeight="false" outlineLevel="0" collapsed="false">
      <c r="A10" s="20" t="n">
        <v>7</v>
      </c>
      <c r="B10" s="22" t="s">
        <v>74</v>
      </c>
      <c r="C10" s="20" t="s">
        <v>51</v>
      </c>
      <c r="D10" s="20" t="s">
        <v>87</v>
      </c>
      <c r="E10" s="20" t="s">
        <v>88</v>
      </c>
      <c r="F10" s="20" t="s">
        <v>89</v>
      </c>
      <c r="G10" s="20" t="s">
        <v>90</v>
      </c>
      <c r="H10" s="20" t="s">
        <v>91</v>
      </c>
      <c r="I10" s="20" t="s">
        <v>92</v>
      </c>
    </row>
    <row r="11" customFormat="false" ht="23.85" hidden="false" customHeight="false" outlineLevel="0" collapsed="false">
      <c r="A11" s="20" t="n">
        <v>8</v>
      </c>
      <c r="B11" s="22" t="s">
        <v>74</v>
      </c>
      <c r="C11" s="20" t="s">
        <v>51</v>
      </c>
      <c r="D11" s="20" t="s">
        <v>93</v>
      </c>
      <c r="E11" s="20" t="s">
        <v>94</v>
      </c>
      <c r="F11" s="20" t="s">
        <v>95</v>
      </c>
      <c r="G11" s="20" t="s">
        <v>65</v>
      </c>
      <c r="H11" s="20" t="s">
        <v>96</v>
      </c>
      <c r="I11" s="20" t="s">
        <v>97</v>
      </c>
    </row>
    <row r="12" customFormat="false" ht="15" hidden="false" customHeight="false" outlineLevel="0" collapsed="false">
      <c r="A12" s="20" t="n">
        <v>9</v>
      </c>
      <c r="B12" s="22" t="s">
        <v>74</v>
      </c>
      <c r="C12" s="20" t="s">
        <v>51</v>
      </c>
      <c r="D12" s="20" t="s">
        <v>58</v>
      </c>
      <c r="E12" s="20" t="s">
        <v>94</v>
      </c>
      <c r="F12" s="20" t="s">
        <v>95</v>
      </c>
      <c r="G12" s="20" t="s">
        <v>65</v>
      </c>
      <c r="H12" s="20" t="s">
        <v>98</v>
      </c>
      <c r="I12" s="20" t="s">
        <v>99</v>
      </c>
    </row>
    <row r="13" customFormat="false" ht="15" hidden="false" customHeight="false" outlineLevel="0" collapsed="false">
      <c r="A13" s="20" t="n">
        <v>10</v>
      </c>
      <c r="B13" s="22" t="s">
        <v>74</v>
      </c>
      <c r="C13" s="20" t="s">
        <v>51</v>
      </c>
      <c r="D13" s="20" t="s">
        <v>64</v>
      </c>
      <c r="E13" s="20" t="s">
        <v>94</v>
      </c>
      <c r="F13" s="20" t="s">
        <v>100</v>
      </c>
      <c r="G13" s="20" t="s">
        <v>101</v>
      </c>
      <c r="H13" s="20" t="s">
        <v>65</v>
      </c>
      <c r="I13" s="20" t="s">
        <v>102</v>
      </c>
    </row>
    <row r="14" customFormat="false" ht="15" hidden="false" customHeight="false" outlineLevel="0" collapsed="false">
      <c r="A14" s="20" t="n">
        <v>11</v>
      </c>
      <c r="B14" s="23" t="s">
        <v>103</v>
      </c>
      <c r="C14" s="20" t="s">
        <v>63</v>
      </c>
      <c r="D14" s="20" t="s">
        <v>65</v>
      </c>
      <c r="E14" s="20" t="s">
        <v>65</v>
      </c>
      <c r="F14" s="20" t="s">
        <v>104</v>
      </c>
      <c r="G14" s="20" t="s">
        <v>65</v>
      </c>
      <c r="H14" s="20" t="s">
        <v>105</v>
      </c>
      <c r="I14" s="20" t="s">
        <v>106</v>
      </c>
    </row>
    <row r="15" customFormat="false" ht="15" hidden="false" customHeight="false" outlineLevel="0" collapsed="false">
      <c r="A15" s="20" t="n">
        <v>12</v>
      </c>
      <c r="B15" s="23" t="s">
        <v>103</v>
      </c>
      <c r="C15" s="20" t="s">
        <v>51</v>
      </c>
      <c r="D15" s="20" t="s">
        <v>81</v>
      </c>
      <c r="E15" s="20" t="s">
        <v>107</v>
      </c>
      <c r="F15" s="20" t="s">
        <v>108</v>
      </c>
      <c r="G15" s="20" t="s">
        <v>109</v>
      </c>
      <c r="H15" s="20" t="s">
        <v>110</v>
      </c>
      <c r="I15" s="20" t="s">
        <v>111</v>
      </c>
    </row>
    <row r="16" customFormat="false" ht="15" hidden="false" customHeight="false" outlineLevel="0" collapsed="false">
      <c r="A16" s="20" t="n">
        <v>13</v>
      </c>
      <c r="B16" s="23" t="s">
        <v>103</v>
      </c>
      <c r="C16" s="20" t="s">
        <v>51</v>
      </c>
      <c r="D16" s="20" t="s">
        <v>81</v>
      </c>
      <c r="E16" s="20" t="s">
        <v>53</v>
      </c>
      <c r="F16" s="20" t="s">
        <v>108</v>
      </c>
      <c r="G16" s="20" t="s">
        <v>112</v>
      </c>
      <c r="H16" s="20" t="s">
        <v>113</v>
      </c>
      <c r="I16" s="20" t="s">
        <v>111</v>
      </c>
    </row>
    <row r="17" customFormat="false" ht="15" hidden="false" customHeight="false" outlineLevel="0" collapsed="false">
      <c r="A17" s="20" t="n">
        <v>14</v>
      </c>
      <c r="B17" s="23" t="s">
        <v>103</v>
      </c>
      <c r="C17" s="20" t="s">
        <v>51</v>
      </c>
      <c r="D17" s="20" t="s">
        <v>81</v>
      </c>
      <c r="E17" s="20" t="s">
        <v>114</v>
      </c>
      <c r="F17" s="20" t="s">
        <v>108</v>
      </c>
      <c r="G17" s="20" t="s">
        <v>115</v>
      </c>
      <c r="H17" s="20" t="s">
        <v>116</v>
      </c>
      <c r="I17" s="20" t="s">
        <v>111</v>
      </c>
    </row>
    <row r="18" customFormat="false" ht="15" hidden="false" customHeight="false" outlineLevel="0" collapsed="false">
      <c r="A18" s="20" t="n">
        <v>15</v>
      </c>
      <c r="B18" s="23" t="s">
        <v>103</v>
      </c>
      <c r="C18" s="20" t="s">
        <v>51</v>
      </c>
      <c r="D18" s="20" t="s">
        <v>52</v>
      </c>
      <c r="E18" s="20" t="s">
        <v>114</v>
      </c>
      <c r="F18" s="20" t="s">
        <v>108</v>
      </c>
      <c r="G18" s="20" t="s">
        <v>117</v>
      </c>
      <c r="H18" s="20" t="s">
        <v>118</v>
      </c>
      <c r="I18" s="20" t="s">
        <v>111</v>
      </c>
    </row>
    <row r="19" customFormat="false" ht="15" hidden="false" customHeight="false" outlineLevel="0" collapsed="false">
      <c r="A19" s="20" t="n">
        <v>16</v>
      </c>
      <c r="B19" s="23" t="s">
        <v>103</v>
      </c>
      <c r="C19" s="20" t="s">
        <v>51</v>
      </c>
      <c r="D19" s="20" t="s">
        <v>87</v>
      </c>
      <c r="E19" s="20" t="s">
        <v>53</v>
      </c>
      <c r="F19" s="20" t="s">
        <v>108</v>
      </c>
      <c r="G19" s="20" t="s">
        <v>119</v>
      </c>
      <c r="H19" s="20" t="s">
        <v>120</v>
      </c>
      <c r="I19" s="20" t="s">
        <v>111</v>
      </c>
    </row>
    <row r="20" customFormat="false" ht="15" hidden="false" customHeight="false" outlineLevel="0" collapsed="false">
      <c r="A20" s="20" t="n">
        <v>17</v>
      </c>
      <c r="B20" s="23" t="s">
        <v>103</v>
      </c>
      <c r="C20" s="20" t="s">
        <v>51</v>
      </c>
      <c r="D20" s="20" t="s">
        <v>87</v>
      </c>
      <c r="E20" s="20" t="s">
        <v>114</v>
      </c>
      <c r="F20" s="20" t="s">
        <v>108</v>
      </c>
      <c r="G20" s="20" t="s">
        <v>121</v>
      </c>
      <c r="H20" s="20" t="s">
        <v>122</v>
      </c>
      <c r="I20" s="20" t="s">
        <v>111</v>
      </c>
    </row>
  </sheetData>
  <autoFilter ref="A3:I2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25"/>
    <col collapsed="false" customWidth="true" hidden="false" outlineLevel="0" max="5" min="5" style="0" width="19"/>
    <col collapsed="false" customWidth="true" hidden="false" outlineLevel="0" max="6" min="6" style="0" width="27"/>
    <col collapsed="false" customWidth="true" hidden="false" outlineLevel="0" max="8" min="7" style="0" width="7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7"/>
    <col collapsed="false" customWidth="true" hidden="false" outlineLevel="0" max="12" min="12" style="0" width="14"/>
    <col collapsed="false" customWidth="true" hidden="false" outlineLevel="0" max="13" min="13" style="0" width="15"/>
  </cols>
  <sheetData>
    <row r="1" customFormat="false" ht="16.15" hidden="false" customHeight="false" outlineLevel="0" collapsed="false">
      <c r="A1" s="19" t="s">
        <v>123</v>
      </c>
    </row>
    <row r="2" customFormat="false" ht="15" hidden="false" customHeight="false" outlineLevel="0" collapsed="false">
      <c r="A2" s="24" t="s">
        <v>124</v>
      </c>
      <c r="B2" s="25" t="s">
        <v>125</v>
      </c>
      <c r="D2" s="26" t="s">
        <v>126</v>
      </c>
      <c r="F2" s="27" t="s">
        <v>127</v>
      </c>
      <c r="H2" s="28" t="s">
        <v>128</v>
      </c>
      <c r="J2" s="29" t="s">
        <v>129</v>
      </c>
    </row>
    <row r="3" customFormat="false" ht="15" hidden="false" customHeight="false" outlineLevel="0" collapsed="false">
      <c r="A3" s="2" t="s">
        <v>130</v>
      </c>
    </row>
    <row r="5" customFormat="false" ht="26.85" hidden="false" customHeight="false" outlineLevel="0" collapsed="false">
      <c r="A5" s="30" t="s">
        <v>131</v>
      </c>
      <c r="B5" s="30" t="s">
        <v>132</v>
      </c>
      <c r="C5" s="30" t="s">
        <v>70</v>
      </c>
      <c r="D5" s="30" t="s">
        <v>133</v>
      </c>
      <c r="E5" s="30" t="s">
        <v>76</v>
      </c>
      <c r="F5" s="30" t="s">
        <v>134</v>
      </c>
      <c r="G5" s="30" t="s">
        <v>135</v>
      </c>
      <c r="H5" s="30" t="s">
        <v>82</v>
      </c>
      <c r="I5" s="30" t="s">
        <v>136</v>
      </c>
      <c r="J5" s="30" t="s">
        <v>107</v>
      </c>
      <c r="K5" s="30" t="s">
        <v>88</v>
      </c>
      <c r="L5" s="30" t="s">
        <v>53</v>
      </c>
      <c r="M5" s="30" t="s">
        <v>114</v>
      </c>
    </row>
    <row r="6" customFormat="false" ht="15" hidden="false" customHeight="false" outlineLevel="0" collapsed="false">
      <c r="A6" s="31"/>
      <c r="B6" s="14" t="s">
        <v>137</v>
      </c>
      <c r="C6" s="32" t="n">
        <v>46266</v>
      </c>
      <c r="D6" s="14" t="s">
        <v>138</v>
      </c>
      <c r="E6" s="14" t="s">
        <v>139</v>
      </c>
      <c r="F6" s="14" t="s">
        <v>140</v>
      </c>
      <c r="G6" s="14" t="s">
        <v>141</v>
      </c>
      <c r="H6" s="14" t="n">
        <v>40</v>
      </c>
      <c r="I6" s="33" t="n">
        <v>1250</v>
      </c>
      <c r="J6" s="33" t="n">
        <v>50000</v>
      </c>
      <c r="K6" s="34" t="n">
        <v>0.05</v>
      </c>
      <c r="L6" s="33" t="n">
        <v>2500</v>
      </c>
      <c r="M6" s="33" t="n">
        <v>52500</v>
      </c>
    </row>
    <row r="7" customFormat="false" ht="15" hidden="false" customHeight="false" outlineLevel="0" collapsed="false">
      <c r="A7" s="31"/>
      <c r="B7" s="14" t="s">
        <v>142</v>
      </c>
      <c r="C7" s="32" t="n">
        <v>46267</v>
      </c>
      <c r="D7" s="14" t="s">
        <v>143</v>
      </c>
      <c r="E7" s="14" t="s">
        <v>144</v>
      </c>
      <c r="F7" s="14" t="s">
        <v>145</v>
      </c>
      <c r="G7" s="14" t="s">
        <v>146</v>
      </c>
      <c r="H7" s="14" t="n">
        <v>150</v>
      </c>
      <c r="I7" s="33" t="n">
        <v>38</v>
      </c>
      <c r="J7" s="33" t="n">
        <v>5700</v>
      </c>
      <c r="K7" s="34" t="n">
        <v>0.18</v>
      </c>
      <c r="L7" s="33" t="n">
        <v>1026</v>
      </c>
      <c r="M7" s="33" t="n">
        <v>6726</v>
      </c>
    </row>
    <row r="8" customFormat="false" ht="15" hidden="false" customHeight="false" outlineLevel="0" collapsed="false">
      <c r="A8" s="31"/>
      <c r="B8" s="14" t="s">
        <v>147</v>
      </c>
      <c r="C8" s="32" t="n">
        <v>46268</v>
      </c>
      <c r="D8" s="14" t="s">
        <v>148</v>
      </c>
      <c r="E8" s="14" t="s">
        <v>149</v>
      </c>
      <c r="F8" s="14" t="s">
        <v>150</v>
      </c>
      <c r="G8" s="14" t="s">
        <v>151</v>
      </c>
      <c r="H8" s="14" t="n">
        <v>25</v>
      </c>
      <c r="I8" s="33" t="n">
        <v>1890</v>
      </c>
      <c r="J8" s="33" t="n">
        <v>47250</v>
      </c>
      <c r="K8" s="34" t="n">
        <v>0.18</v>
      </c>
      <c r="L8" s="33" t="n">
        <v>8505</v>
      </c>
      <c r="M8" s="33" t="n">
        <v>55755</v>
      </c>
    </row>
    <row r="9" customFormat="false" ht="15" hidden="false" customHeight="false" outlineLevel="0" collapsed="false">
      <c r="A9" s="35" t="s">
        <v>152</v>
      </c>
      <c r="B9" s="14" t="s">
        <v>75</v>
      </c>
      <c r="C9" s="32" t="n">
        <v>46269</v>
      </c>
      <c r="D9" s="14" t="s">
        <v>153</v>
      </c>
      <c r="E9" s="36" t="s">
        <v>79</v>
      </c>
      <c r="F9" s="14" t="s">
        <v>154</v>
      </c>
      <c r="G9" s="14" t="s">
        <v>155</v>
      </c>
      <c r="H9" s="14" t="n">
        <v>8</v>
      </c>
      <c r="I9" s="33" t="n">
        <v>145</v>
      </c>
      <c r="J9" s="33" t="n">
        <v>1160</v>
      </c>
      <c r="K9" s="34" t="n">
        <v>0.18</v>
      </c>
      <c r="L9" s="33" t="n">
        <v>208.8</v>
      </c>
      <c r="M9" s="33" t="n">
        <v>1368.8</v>
      </c>
    </row>
    <row r="10" customFormat="false" ht="15" hidden="false" customHeight="false" outlineLevel="0" collapsed="false">
      <c r="A10" s="31"/>
      <c r="B10" s="14" t="s">
        <v>156</v>
      </c>
      <c r="C10" s="32" t="n">
        <v>46270</v>
      </c>
      <c r="D10" s="14" t="s">
        <v>157</v>
      </c>
      <c r="E10" s="14" t="s">
        <v>158</v>
      </c>
      <c r="F10" s="14" t="s">
        <v>159</v>
      </c>
      <c r="G10" s="14" t="s">
        <v>160</v>
      </c>
      <c r="H10" s="14" t="n">
        <v>60</v>
      </c>
      <c r="I10" s="33" t="n">
        <v>5650</v>
      </c>
      <c r="J10" s="33" t="n">
        <v>339000</v>
      </c>
      <c r="K10" s="34" t="n">
        <v>0.18</v>
      </c>
      <c r="L10" s="33" t="n">
        <v>61020</v>
      </c>
      <c r="M10" s="33" t="n">
        <v>400020</v>
      </c>
    </row>
    <row r="11" customFormat="false" ht="15" hidden="false" customHeight="false" outlineLevel="0" collapsed="false">
      <c r="A11" s="31"/>
      <c r="B11" s="14" t="s">
        <v>161</v>
      </c>
      <c r="C11" s="32" t="n">
        <v>46271</v>
      </c>
      <c r="D11" s="14" t="s">
        <v>162</v>
      </c>
      <c r="E11" s="14" t="s">
        <v>163</v>
      </c>
      <c r="F11" s="14" t="s">
        <v>164</v>
      </c>
      <c r="G11" s="14" t="s">
        <v>165</v>
      </c>
      <c r="H11" s="14" t="n">
        <v>35</v>
      </c>
      <c r="I11" s="33" t="n">
        <v>780</v>
      </c>
      <c r="J11" s="33" t="n">
        <v>27300</v>
      </c>
      <c r="K11" s="34" t="n">
        <v>0.18</v>
      </c>
      <c r="L11" s="33" t="n">
        <v>4914</v>
      </c>
      <c r="M11" s="33" t="n">
        <v>32214</v>
      </c>
    </row>
    <row r="12" customFormat="false" ht="15" hidden="false" customHeight="false" outlineLevel="0" collapsed="false">
      <c r="A12" s="31"/>
      <c r="B12" s="14" t="s">
        <v>166</v>
      </c>
      <c r="C12" s="32" t="n">
        <v>46272</v>
      </c>
      <c r="D12" s="14" t="s">
        <v>167</v>
      </c>
      <c r="E12" s="14" t="s">
        <v>168</v>
      </c>
      <c r="F12" s="14" t="s">
        <v>169</v>
      </c>
      <c r="G12" s="14" t="s">
        <v>170</v>
      </c>
      <c r="H12" s="14" t="n">
        <v>18</v>
      </c>
      <c r="I12" s="33" t="n">
        <v>96</v>
      </c>
      <c r="J12" s="33" t="n">
        <v>1728</v>
      </c>
      <c r="K12" s="34" t="n">
        <v>0.18</v>
      </c>
      <c r="L12" s="33" t="n">
        <v>311.04</v>
      </c>
      <c r="M12" s="33" t="n">
        <v>2039.04</v>
      </c>
    </row>
    <row r="13" customFormat="false" ht="15" hidden="false" customHeight="false" outlineLevel="0" collapsed="false">
      <c r="A13" s="35" t="s">
        <v>152</v>
      </c>
      <c r="B13" s="14" t="s">
        <v>81</v>
      </c>
      <c r="C13" s="32" t="n">
        <v>46273</v>
      </c>
      <c r="D13" s="14" t="s">
        <v>171</v>
      </c>
      <c r="E13" s="14" t="s">
        <v>172</v>
      </c>
      <c r="F13" s="14" t="s">
        <v>173</v>
      </c>
      <c r="G13" s="14" t="s">
        <v>174</v>
      </c>
      <c r="H13" s="36" t="n">
        <v>45</v>
      </c>
      <c r="I13" s="33" t="n">
        <v>420</v>
      </c>
      <c r="J13" s="37" t="n">
        <v>18900</v>
      </c>
      <c r="K13" s="34" t="n">
        <v>0.18</v>
      </c>
      <c r="L13" s="37" t="n">
        <v>3402</v>
      </c>
      <c r="M13" s="37" t="n">
        <v>22302</v>
      </c>
    </row>
    <row r="14" customFormat="false" ht="15" hidden="false" customHeight="false" outlineLevel="0" collapsed="false">
      <c r="A14" s="31"/>
      <c r="B14" s="14" t="s">
        <v>175</v>
      </c>
      <c r="C14" s="32" t="n">
        <v>46274</v>
      </c>
      <c r="D14" s="14" t="s">
        <v>138</v>
      </c>
      <c r="E14" s="14" t="s">
        <v>139</v>
      </c>
      <c r="F14" s="14" t="s">
        <v>140</v>
      </c>
      <c r="G14" s="14" t="s">
        <v>141</v>
      </c>
      <c r="H14" s="14" t="n">
        <v>22</v>
      </c>
      <c r="I14" s="33" t="n">
        <v>1250</v>
      </c>
      <c r="J14" s="33" t="n">
        <v>27500</v>
      </c>
      <c r="K14" s="34" t="n">
        <v>0.05</v>
      </c>
      <c r="L14" s="33" t="n">
        <v>1375</v>
      </c>
      <c r="M14" s="33" t="n">
        <v>28875</v>
      </c>
    </row>
    <row r="15" customFormat="false" ht="15" hidden="false" customHeight="false" outlineLevel="0" collapsed="false">
      <c r="A15" s="31"/>
      <c r="B15" s="14" t="s">
        <v>176</v>
      </c>
      <c r="C15" s="32" t="n">
        <v>46275</v>
      </c>
      <c r="D15" s="14" t="s">
        <v>143</v>
      </c>
      <c r="E15" s="14" t="s">
        <v>144</v>
      </c>
      <c r="F15" s="14" t="s">
        <v>145</v>
      </c>
      <c r="G15" s="14" t="s">
        <v>146</v>
      </c>
      <c r="H15" s="14" t="n">
        <v>12</v>
      </c>
      <c r="I15" s="33" t="n">
        <v>38</v>
      </c>
      <c r="J15" s="33" t="n">
        <v>456</v>
      </c>
      <c r="K15" s="34" t="n">
        <v>0.18</v>
      </c>
      <c r="L15" s="33" t="n">
        <v>82.08</v>
      </c>
      <c r="M15" s="33" t="n">
        <v>538.08</v>
      </c>
    </row>
    <row r="16" customFormat="false" ht="15" hidden="false" customHeight="false" outlineLevel="0" collapsed="false">
      <c r="A16" s="31"/>
      <c r="B16" s="14" t="s">
        <v>177</v>
      </c>
      <c r="C16" s="32" t="n">
        <v>46276</v>
      </c>
      <c r="D16" s="14" t="s">
        <v>148</v>
      </c>
      <c r="E16" s="14" t="s">
        <v>149</v>
      </c>
      <c r="F16" s="14" t="s">
        <v>150</v>
      </c>
      <c r="G16" s="14" t="s">
        <v>151</v>
      </c>
      <c r="H16" s="14" t="n">
        <v>40</v>
      </c>
      <c r="I16" s="33" t="n">
        <v>1890</v>
      </c>
      <c r="J16" s="33" t="n">
        <v>75600</v>
      </c>
      <c r="K16" s="34" t="n">
        <v>0.18</v>
      </c>
      <c r="L16" s="33" t="n">
        <v>13608</v>
      </c>
      <c r="M16" s="33" t="n">
        <v>89208</v>
      </c>
    </row>
    <row r="17" customFormat="false" ht="15" hidden="false" customHeight="false" outlineLevel="0" collapsed="false">
      <c r="A17" s="31"/>
      <c r="B17" s="14" t="s">
        <v>178</v>
      </c>
      <c r="C17" s="32" t="n">
        <v>46277</v>
      </c>
      <c r="D17" s="14" t="s">
        <v>153</v>
      </c>
      <c r="E17" s="14" t="s">
        <v>78</v>
      </c>
      <c r="F17" s="14" t="s">
        <v>154</v>
      </c>
      <c r="G17" s="14" t="s">
        <v>155</v>
      </c>
      <c r="H17" s="14" t="n">
        <v>150</v>
      </c>
      <c r="I17" s="33" t="n">
        <v>145</v>
      </c>
      <c r="J17" s="33" t="n">
        <v>21750</v>
      </c>
      <c r="K17" s="34" t="n">
        <v>0.18</v>
      </c>
      <c r="L17" s="33" t="n">
        <v>3915</v>
      </c>
      <c r="M17" s="33" t="n">
        <v>25665</v>
      </c>
    </row>
    <row r="18" customFormat="false" ht="15" hidden="false" customHeight="false" outlineLevel="0" collapsed="false">
      <c r="A18" s="38" t="s">
        <v>179</v>
      </c>
      <c r="B18" s="39" t="s">
        <v>93</v>
      </c>
      <c r="C18" s="40" t="n">
        <v>46278</v>
      </c>
      <c r="D18" s="39" t="s">
        <v>157</v>
      </c>
      <c r="E18" s="39" t="s">
        <v>158</v>
      </c>
      <c r="F18" s="39" t="s">
        <v>159</v>
      </c>
      <c r="G18" s="39" t="s">
        <v>160</v>
      </c>
      <c r="H18" s="39" t="n">
        <v>25</v>
      </c>
      <c r="I18" s="41" t="n">
        <v>5650</v>
      </c>
      <c r="J18" s="41" t="n">
        <v>141250</v>
      </c>
      <c r="K18" s="42" t="n">
        <v>0.18</v>
      </c>
      <c r="L18" s="41" t="n">
        <v>25425</v>
      </c>
      <c r="M18" s="41" t="n">
        <v>166675</v>
      </c>
    </row>
    <row r="19" customFormat="false" ht="15" hidden="false" customHeight="false" outlineLevel="0" collapsed="false">
      <c r="A19" s="31"/>
      <c r="B19" s="14" t="s">
        <v>180</v>
      </c>
      <c r="C19" s="32" t="n">
        <v>46279</v>
      </c>
      <c r="D19" s="14" t="s">
        <v>162</v>
      </c>
      <c r="E19" s="14" t="s">
        <v>163</v>
      </c>
      <c r="F19" s="14" t="s">
        <v>164</v>
      </c>
      <c r="G19" s="14" t="s">
        <v>165</v>
      </c>
      <c r="H19" s="14" t="n">
        <v>8</v>
      </c>
      <c r="I19" s="33" t="n">
        <v>780</v>
      </c>
      <c r="J19" s="33" t="n">
        <v>6240</v>
      </c>
      <c r="K19" s="34" t="n">
        <v>0.18</v>
      </c>
      <c r="L19" s="33" t="n">
        <v>1123.2</v>
      </c>
      <c r="M19" s="33" t="n">
        <v>7363.2</v>
      </c>
    </row>
    <row r="20" customFormat="false" ht="15" hidden="false" customHeight="false" outlineLevel="0" collapsed="false">
      <c r="A20" s="35" t="s">
        <v>152</v>
      </c>
      <c r="B20" s="14" t="s">
        <v>52</v>
      </c>
      <c r="C20" s="32" t="n">
        <v>46280</v>
      </c>
      <c r="D20" s="14" t="s">
        <v>167</v>
      </c>
      <c r="E20" s="14" t="s">
        <v>168</v>
      </c>
      <c r="F20" s="14" t="s">
        <v>169</v>
      </c>
      <c r="G20" s="14" t="s">
        <v>170</v>
      </c>
      <c r="H20" s="14" t="n">
        <v>60</v>
      </c>
      <c r="I20" s="33" t="n">
        <v>96</v>
      </c>
      <c r="J20" s="33" t="n">
        <v>5760</v>
      </c>
      <c r="K20" s="34" t="n">
        <v>0.18</v>
      </c>
      <c r="L20" s="43" t="n">
        <v>1063.8</v>
      </c>
      <c r="M20" s="37" t="n">
        <v>6823.8</v>
      </c>
    </row>
    <row r="21" customFormat="false" ht="15" hidden="false" customHeight="false" outlineLevel="0" collapsed="false">
      <c r="A21" s="31"/>
      <c r="B21" s="14" t="s">
        <v>181</v>
      </c>
      <c r="C21" s="32" t="n">
        <v>46281</v>
      </c>
      <c r="D21" s="14" t="s">
        <v>171</v>
      </c>
      <c r="E21" s="14" t="s">
        <v>172</v>
      </c>
      <c r="F21" s="14" t="s">
        <v>173</v>
      </c>
      <c r="G21" s="14" t="s">
        <v>174</v>
      </c>
      <c r="H21" s="14" t="n">
        <v>35</v>
      </c>
      <c r="I21" s="33" t="n">
        <v>420</v>
      </c>
      <c r="J21" s="33" t="n">
        <v>14700</v>
      </c>
      <c r="K21" s="34" t="n">
        <v>0.18</v>
      </c>
      <c r="L21" s="33" t="n">
        <v>2646</v>
      </c>
      <c r="M21" s="33" t="n">
        <v>17346</v>
      </c>
    </row>
    <row r="22" customFormat="false" ht="15" hidden="false" customHeight="false" outlineLevel="0" collapsed="false">
      <c r="A22" s="31"/>
      <c r="B22" s="14" t="s">
        <v>182</v>
      </c>
      <c r="C22" s="32" t="n">
        <v>46282</v>
      </c>
      <c r="D22" s="14" t="s">
        <v>138</v>
      </c>
      <c r="E22" s="14" t="s">
        <v>139</v>
      </c>
      <c r="F22" s="14" t="s">
        <v>140</v>
      </c>
      <c r="G22" s="14" t="s">
        <v>141</v>
      </c>
      <c r="H22" s="14" t="n">
        <v>18</v>
      </c>
      <c r="I22" s="33" t="n">
        <v>1250</v>
      </c>
      <c r="J22" s="33" t="n">
        <v>22500</v>
      </c>
      <c r="K22" s="34" t="n">
        <v>0.05</v>
      </c>
      <c r="L22" s="33" t="n">
        <v>1125</v>
      </c>
      <c r="M22" s="33" t="n">
        <v>23625</v>
      </c>
    </row>
    <row r="23" customFormat="false" ht="15" hidden="false" customHeight="false" outlineLevel="0" collapsed="false">
      <c r="A23" s="31"/>
      <c r="B23" s="14" t="s">
        <v>183</v>
      </c>
      <c r="C23" s="32" t="n">
        <v>46283</v>
      </c>
      <c r="D23" s="14" t="s">
        <v>143</v>
      </c>
      <c r="E23" s="14" t="s">
        <v>144</v>
      </c>
      <c r="F23" s="14" t="s">
        <v>145</v>
      </c>
      <c r="G23" s="14" t="s">
        <v>146</v>
      </c>
      <c r="H23" s="14" t="n">
        <v>90</v>
      </c>
      <c r="I23" s="33" t="n">
        <v>38</v>
      </c>
      <c r="J23" s="33" t="n">
        <v>3420</v>
      </c>
      <c r="K23" s="34" t="n">
        <v>0.18</v>
      </c>
      <c r="L23" s="33" t="n">
        <v>615.6</v>
      </c>
      <c r="M23" s="33" t="n">
        <v>4035.6</v>
      </c>
    </row>
    <row r="24" customFormat="false" ht="15" hidden="false" customHeight="false" outlineLevel="0" collapsed="false">
      <c r="A24" s="44" t="s">
        <v>184</v>
      </c>
      <c r="B24" s="45" t="s">
        <v>64</v>
      </c>
      <c r="C24" s="46" t="n">
        <v>46284</v>
      </c>
      <c r="D24" s="45" t="s">
        <v>148</v>
      </c>
      <c r="E24" s="45" t="s">
        <v>149</v>
      </c>
      <c r="F24" s="45" t="s">
        <v>150</v>
      </c>
      <c r="G24" s="45" t="s">
        <v>151</v>
      </c>
      <c r="H24" s="45" t="n">
        <v>22</v>
      </c>
      <c r="I24" s="47" t="n">
        <v>1890</v>
      </c>
      <c r="J24" s="47" t="n">
        <v>41580</v>
      </c>
      <c r="K24" s="48" t="n">
        <v>0.18</v>
      </c>
      <c r="L24" s="47" t="n">
        <v>7484.4</v>
      </c>
      <c r="M24" s="47" t="n">
        <v>49064.4</v>
      </c>
    </row>
    <row r="25" customFormat="false" ht="15" hidden="false" customHeight="false" outlineLevel="0" collapsed="false">
      <c r="A25" s="31"/>
      <c r="B25" s="14" t="s">
        <v>185</v>
      </c>
      <c r="C25" s="32" t="n">
        <v>46285</v>
      </c>
      <c r="D25" s="14" t="s">
        <v>153</v>
      </c>
      <c r="E25" s="14" t="s">
        <v>78</v>
      </c>
      <c r="F25" s="14" t="s">
        <v>154</v>
      </c>
      <c r="G25" s="14" t="s">
        <v>155</v>
      </c>
      <c r="H25" s="14" t="n">
        <v>12</v>
      </c>
      <c r="I25" s="33" t="n">
        <v>145</v>
      </c>
      <c r="J25" s="33" t="n">
        <v>1740</v>
      </c>
      <c r="K25" s="34" t="n">
        <v>0.18</v>
      </c>
      <c r="L25" s="33" t="n">
        <v>313.2</v>
      </c>
      <c r="M25" s="33" t="n">
        <v>2053.2</v>
      </c>
    </row>
    <row r="26" customFormat="false" ht="15" hidden="false" customHeight="false" outlineLevel="0" collapsed="false">
      <c r="A26" s="31"/>
      <c r="B26" s="14" t="s">
        <v>186</v>
      </c>
      <c r="C26" s="32" t="n">
        <v>46286</v>
      </c>
      <c r="D26" s="14" t="s">
        <v>157</v>
      </c>
      <c r="E26" s="14" t="s">
        <v>158</v>
      </c>
      <c r="F26" s="14" t="s">
        <v>159</v>
      </c>
      <c r="G26" s="14" t="s">
        <v>160</v>
      </c>
      <c r="H26" s="14" t="n">
        <v>40</v>
      </c>
      <c r="I26" s="33" t="n">
        <v>5650</v>
      </c>
      <c r="J26" s="33" t="n">
        <v>226000</v>
      </c>
      <c r="K26" s="34" t="n">
        <v>0.18</v>
      </c>
      <c r="L26" s="33" t="n">
        <v>40680</v>
      </c>
      <c r="M26" s="33" t="n">
        <v>266680</v>
      </c>
    </row>
    <row r="27" customFormat="false" ht="15" hidden="false" customHeight="false" outlineLevel="0" collapsed="false">
      <c r="A27" s="35" t="s">
        <v>152</v>
      </c>
      <c r="B27" s="14" t="s">
        <v>87</v>
      </c>
      <c r="C27" s="32" t="n">
        <v>46287</v>
      </c>
      <c r="D27" s="14" t="s">
        <v>162</v>
      </c>
      <c r="E27" s="14" t="s">
        <v>163</v>
      </c>
      <c r="F27" s="14" t="s">
        <v>164</v>
      </c>
      <c r="G27" s="14" t="s">
        <v>165</v>
      </c>
      <c r="H27" s="14" t="n">
        <v>150</v>
      </c>
      <c r="I27" s="33" t="n">
        <v>780</v>
      </c>
      <c r="J27" s="33" t="n">
        <v>117000</v>
      </c>
      <c r="K27" s="49" t="n">
        <v>0.05</v>
      </c>
      <c r="L27" s="37" t="n">
        <v>5850</v>
      </c>
      <c r="M27" s="37" t="n">
        <v>122850</v>
      </c>
    </row>
    <row r="28" customFormat="false" ht="15" hidden="false" customHeight="false" outlineLevel="0" collapsed="false">
      <c r="A28" s="31"/>
      <c r="B28" s="14" t="s">
        <v>187</v>
      </c>
      <c r="C28" s="32" t="n">
        <v>46288</v>
      </c>
      <c r="D28" s="14" t="s">
        <v>167</v>
      </c>
      <c r="E28" s="14" t="s">
        <v>168</v>
      </c>
      <c r="F28" s="14" t="s">
        <v>169</v>
      </c>
      <c r="G28" s="14" t="s">
        <v>170</v>
      </c>
      <c r="H28" s="14" t="n">
        <v>25</v>
      </c>
      <c r="I28" s="33" t="n">
        <v>96</v>
      </c>
      <c r="J28" s="33" t="n">
        <v>2400</v>
      </c>
      <c r="K28" s="34" t="n">
        <v>0.18</v>
      </c>
      <c r="L28" s="33" t="n">
        <v>432</v>
      </c>
      <c r="M28" s="33" t="n">
        <v>2832</v>
      </c>
    </row>
    <row r="29" customFormat="false" ht="15" hidden="false" customHeight="false" outlineLevel="0" collapsed="false">
      <c r="A29" s="31"/>
      <c r="B29" s="14" t="s">
        <v>188</v>
      </c>
      <c r="C29" s="32" t="n">
        <v>46289</v>
      </c>
      <c r="D29" s="14" t="s">
        <v>171</v>
      </c>
      <c r="E29" s="14" t="s">
        <v>172</v>
      </c>
      <c r="F29" s="14" t="s">
        <v>173</v>
      </c>
      <c r="G29" s="14" t="s">
        <v>174</v>
      </c>
      <c r="H29" s="14" t="n">
        <v>8</v>
      </c>
      <c r="I29" s="33" t="n">
        <v>420</v>
      </c>
      <c r="J29" s="33" t="n">
        <v>3360</v>
      </c>
      <c r="K29" s="34" t="n">
        <v>0.18</v>
      </c>
      <c r="L29" s="33" t="n">
        <v>604.8</v>
      </c>
      <c r="M29" s="33" t="n">
        <v>3964.8</v>
      </c>
    </row>
    <row r="30" customFormat="false" ht="15" hidden="false" customHeight="false" outlineLevel="0" collapsed="false">
      <c r="A30" s="31"/>
      <c r="B30" s="14" t="s">
        <v>189</v>
      </c>
      <c r="C30" s="32" t="n">
        <v>46290</v>
      </c>
      <c r="D30" s="14" t="s">
        <v>138</v>
      </c>
      <c r="E30" s="14" t="s">
        <v>139</v>
      </c>
      <c r="F30" s="14" t="s">
        <v>140</v>
      </c>
      <c r="G30" s="14" t="s">
        <v>141</v>
      </c>
      <c r="H30" s="14" t="n">
        <v>60</v>
      </c>
      <c r="I30" s="33" t="n">
        <v>1250</v>
      </c>
      <c r="J30" s="33" t="n">
        <v>75000</v>
      </c>
      <c r="K30" s="34" t="n">
        <v>0.05</v>
      </c>
      <c r="L30" s="33" t="n">
        <v>3750</v>
      </c>
      <c r="M30" s="33" t="n">
        <v>78750</v>
      </c>
    </row>
    <row r="31" customFormat="false" ht="15" hidden="false" customHeight="false" outlineLevel="0" collapsed="false">
      <c r="A31" s="31"/>
      <c r="B31" s="14" t="s">
        <v>190</v>
      </c>
      <c r="C31" s="32" t="n">
        <v>46291</v>
      </c>
      <c r="D31" s="14" t="s">
        <v>143</v>
      </c>
      <c r="E31" s="14" t="s">
        <v>144</v>
      </c>
      <c r="F31" s="14" t="s">
        <v>145</v>
      </c>
      <c r="G31" s="14" t="s">
        <v>146</v>
      </c>
      <c r="H31" s="14" t="n">
        <v>35</v>
      </c>
      <c r="I31" s="33" t="n">
        <v>38</v>
      </c>
      <c r="J31" s="33" t="n">
        <v>1330</v>
      </c>
      <c r="K31" s="34" t="n">
        <v>0.18</v>
      </c>
      <c r="L31" s="33" t="n">
        <v>239.4</v>
      </c>
      <c r="M31" s="33" t="n">
        <v>1569.4</v>
      </c>
    </row>
    <row r="32" customFormat="false" ht="15" hidden="false" customHeight="false" outlineLevel="0" collapsed="false">
      <c r="A32" s="31"/>
      <c r="B32" s="14" t="s">
        <v>191</v>
      </c>
      <c r="C32" s="32" t="n">
        <v>46292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n">
        <v>18</v>
      </c>
      <c r="I32" s="33" t="n">
        <v>1890</v>
      </c>
      <c r="J32" s="33" t="n">
        <v>34020</v>
      </c>
      <c r="K32" s="34" t="n">
        <v>0.18</v>
      </c>
      <c r="L32" s="33" t="n">
        <v>6123.6</v>
      </c>
      <c r="M32" s="33" t="n">
        <v>40143.6</v>
      </c>
    </row>
    <row r="33" customFormat="false" ht="15" hidden="false" customHeight="false" outlineLevel="0" collapsed="false">
      <c r="A33" s="31"/>
      <c r="B33" s="14" t="s">
        <v>192</v>
      </c>
      <c r="C33" s="32" t="n">
        <v>46293</v>
      </c>
      <c r="D33" s="14" t="s">
        <v>153</v>
      </c>
      <c r="E33" s="14" t="s">
        <v>78</v>
      </c>
      <c r="F33" s="14" t="s">
        <v>154</v>
      </c>
      <c r="G33" s="14" t="s">
        <v>155</v>
      </c>
      <c r="H33" s="14" t="n">
        <v>90</v>
      </c>
      <c r="I33" s="33" t="n">
        <v>145</v>
      </c>
      <c r="J33" s="33" t="n">
        <v>13050</v>
      </c>
      <c r="K33" s="34" t="n">
        <v>0.18</v>
      </c>
      <c r="L33" s="33" t="n">
        <v>2349</v>
      </c>
      <c r="M33" s="33" t="n">
        <v>15399</v>
      </c>
    </row>
    <row r="34" customFormat="false" ht="15" hidden="false" customHeight="false" outlineLevel="0" collapsed="false">
      <c r="A34" s="35" t="s">
        <v>152</v>
      </c>
      <c r="B34" s="14" t="s">
        <v>69</v>
      </c>
      <c r="C34" s="50" t="n">
        <v>46297</v>
      </c>
      <c r="D34" s="14" t="s">
        <v>157</v>
      </c>
      <c r="E34" s="14" t="s">
        <v>158</v>
      </c>
      <c r="F34" s="14" t="s">
        <v>159</v>
      </c>
      <c r="G34" s="14" t="s">
        <v>160</v>
      </c>
      <c r="H34" s="14" t="n">
        <v>22</v>
      </c>
      <c r="I34" s="33" t="n">
        <v>5650</v>
      </c>
      <c r="J34" s="33" t="n">
        <v>124300</v>
      </c>
      <c r="K34" s="34" t="n">
        <v>0.18</v>
      </c>
      <c r="L34" s="33" t="n">
        <v>22374</v>
      </c>
      <c r="M34" s="33" t="n">
        <v>146674</v>
      </c>
    </row>
    <row r="35" customFormat="false" ht="15" hidden="false" customHeight="false" outlineLevel="0" collapsed="false">
      <c r="A35" s="31"/>
      <c r="B35" s="14" t="s">
        <v>193</v>
      </c>
      <c r="C35" s="32" t="n">
        <v>46295</v>
      </c>
      <c r="D35" s="14" t="s">
        <v>162</v>
      </c>
      <c r="E35" s="14" t="s">
        <v>163</v>
      </c>
      <c r="F35" s="14" t="s">
        <v>164</v>
      </c>
      <c r="G35" s="14" t="s">
        <v>165</v>
      </c>
      <c r="H35" s="14" t="n">
        <v>12</v>
      </c>
      <c r="I35" s="33" t="n">
        <v>780</v>
      </c>
      <c r="J35" s="33" t="n">
        <v>9360</v>
      </c>
      <c r="K35" s="34" t="n">
        <v>0.18</v>
      </c>
      <c r="L35" s="33" t="n">
        <v>1684.8</v>
      </c>
      <c r="M35" s="33" t="n">
        <v>11044.8</v>
      </c>
    </row>
    <row r="36" customFormat="false" ht="15" hidden="false" customHeight="false" outlineLevel="0" collapsed="false">
      <c r="A36" s="38" t="s">
        <v>179</v>
      </c>
      <c r="B36" s="39" t="s">
        <v>58</v>
      </c>
      <c r="C36" s="40" t="n">
        <v>46295</v>
      </c>
      <c r="D36" s="39" t="s">
        <v>148</v>
      </c>
      <c r="E36" s="39" t="s">
        <v>149</v>
      </c>
      <c r="F36" s="39" t="s">
        <v>150</v>
      </c>
      <c r="G36" s="39" t="s">
        <v>151</v>
      </c>
      <c r="H36" s="39" t="n">
        <v>30</v>
      </c>
      <c r="I36" s="41" t="n">
        <v>1890</v>
      </c>
      <c r="J36" s="41" t="n">
        <v>56700</v>
      </c>
      <c r="K36" s="42" t="n">
        <v>0.18</v>
      </c>
      <c r="L36" s="41" t="n">
        <v>10206</v>
      </c>
      <c r="M36" s="41" t="n">
        <v>66906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2026-10-06T04:00:22Z</dcterms:created>
  <dc:creator>openpyxl</dc:creator>
  <dc:description/>
  <dc:language>en-US</dc:language>
  <cp:lastModifiedBy/>
  <dcterms:modified xsi:type="dcterms:W3CDTF">2026-10-06T04:00:22Z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