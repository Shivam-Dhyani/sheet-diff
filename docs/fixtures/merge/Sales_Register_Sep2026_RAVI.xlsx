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Register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<sst xmlns="http://schemas.openxmlformats.org/spreadsheetml/2006/main" count="163" uniqueCount="83">
  <si>
    <t xml:space="preserve">Shree Ganesh Traders — Sales Register, September 2026</t>
  </si>
  <si>
    <t xml:space="preserve">GSTIN 24AAQFS8812K1Z4 · Edited by Ravi · Sample demo data (fictional)</t>
  </si>
  <si>
    <t xml:space="preserve">Invoice No</t>
  </si>
  <si>
    <t xml:space="preserve">Invoice Date</t>
  </si>
  <si>
    <t xml:space="preserve">Customer Name</t>
  </si>
  <si>
    <t xml:space="preserve">Customer GSTIN</t>
  </si>
  <si>
    <t xml:space="preserve">Item</t>
  </si>
  <si>
    <t xml:space="preserve">HSN</t>
  </si>
  <si>
    <t xml:space="preserve">Qty</t>
  </si>
  <si>
    <t xml:space="preserve">Rate (₹)</t>
  </si>
  <si>
    <t xml:space="preserve">Taxable Value (₹)</t>
  </si>
  <si>
    <t xml:space="preserve">GST %</t>
  </si>
  <si>
    <t xml:space="preserve">GST Amount (₹)</t>
  </si>
  <si>
    <t xml:space="preserve">Invoice Total (₹)</t>
  </si>
  <si>
    <t xml:space="preserve">INV-1001</t>
  </si>
  <si>
    <t xml:space="preserve">Joshi Enterprises</t>
  </si>
  <si>
    <t xml:space="preserve">24AFJPJ1188B1Z2</t>
  </si>
  <si>
    <t xml:space="preserve">Jute Sacks (bundle of 50)</t>
  </si>
  <si>
    <t xml:space="preserve">6305</t>
  </si>
  <si>
    <t xml:space="preserve">INV-1002</t>
  </si>
  <si>
    <t xml:space="preserve">Bhatt &amp; Sons</t>
  </si>
  <si>
    <t xml:space="preserve">24AAGFB2267C1Z1</t>
  </si>
  <si>
    <t xml:space="preserve">Modular Switch 6A</t>
  </si>
  <si>
    <t xml:space="preserve">8536</t>
  </si>
  <si>
    <t xml:space="preserve">INV-1003</t>
  </si>
  <si>
    <t xml:space="preserve">Shah Electricals</t>
  </si>
  <si>
    <t xml:space="preserve">24ABCPS7712Q1ZK</t>
  </si>
  <si>
    <t xml:space="preserve">Copper Wire 1.5 sq mm (coil)</t>
  </si>
  <si>
    <t xml:space="preserve">8544</t>
  </si>
  <si>
    <t xml:space="preserve">INV-1004</t>
  </si>
  <si>
    <t xml:space="preserve">Desai Traders</t>
  </si>
  <si>
    <t xml:space="preserve">24AAMFD6041L1Z7</t>
  </si>
  <si>
    <t xml:space="preserve">Door Hinges 4in (pair)</t>
  </si>
  <si>
    <t xml:space="preserve">8302</t>
  </si>
  <si>
    <t xml:space="preserve">INV-1005</t>
  </si>
  <si>
    <t xml:space="preserve">Trivedi Infra Projects</t>
  </si>
  <si>
    <t xml:space="preserve">24AAHCT9034R1Z6</t>
  </si>
  <si>
    <t xml:space="preserve">Exterior Emulsion 20L</t>
  </si>
  <si>
    <t xml:space="preserve">3208</t>
  </si>
  <si>
    <t xml:space="preserve">INV-1006</t>
  </si>
  <si>
    <t xml:space="preserve">Mehta Building Supplies</t>
  </si>
  <si>
    <t xml:space="preserve">24AADFM3390H1Z9</t>
  </si>
  <si>
    <t xml:space="preserve">Wall Putty 40kg</t>
  </si>
  <si>
    <t xml:space="preserve">3214</t>
  </si>
  <si>
    <t xml:space="preserve">INV-1007</t>
  </si>
  <si>
    <t xml:space="preserve">Rathod Paints &amp; Hardware</t>
  </si>
  <si>
    <t xml:space="preserve">24ACQPR5529N1ZB</t>
  </si>
  <si>
    <t xml:space="preserve">PVC Conduit Pipe 25mm</t>
  </si>
  <si>
    <t xml:space="preserve">3917</t>
  </si>
  <si>
    <t xml:space="preserve">INV-1008</t>
  </si>
  <si>
    <t xml:space="preserve">Patel Hardware Stores</t>
  </si>
  <si>
    <t xml:space="preserve">24AAKFP4521M1Z3</t>
  </si>
  <si>
    <t xml:space="preserve">SS Screws 50mm (box)</t>
  </si>
  <si>
    <t xml:space="preserve">7318</t>
  </si>
  <si>
    <t xml:space="preserve">INV-1009</t>
  </si>
  <si>
    <t xml:space="preserve">INV-1010</t>
  </si>
  <si>
    <t xml:space="preserve">INV-1011</t>
  </si>
  <si>
    <t xml:space="preserve">INV-1012</t>
  </si>
  <si>
    <t xml:space="preserve">INV-1014</t>
  </si>
  <si>
    <t xml:space="preserve">INV-1015</t>
  </si>
  <si>
    <t xml:space="preserve">INV-1016</t>
  </si>
  <si>
    <t xml:space="preserve">INV-1017</t>
  </si>
  <si>
    <t xml:space="preserve">INV-1018</t>
  </si>
  <si>
    <t xml:space="preserve">INV-1020</t>
  </si>
  <si>
    <t xml:space="preserve">INV-1021</t>
  </si>
  <si>
    <t xml:space="preserve">INV-1022</t>
  </si>
  <si>
    <t xml:space="preserve">INV-1023</t>
  </si>
  <si>
    <t xml:space="preserve">INV-1024</t>
  </si>
  <si>
    <t xml:space="preserve">INV-1025</t>
  </si>
  <si>
    <t xml:space="preserve">INV-1026</t>
  </si>
  <si>
    <t xml:space="preserve">INV-1027</t>
  </si>
  <si>
    <t xml:space="preserve">INV-1028</t>
  </si>
  <si>
    <t xml:space="preserve">INV-1029</t>
  </si>
  <si>
    <t xml:space="preserve">INV-1030</t>
  </si>
  <si>
    <t xml:space="preserve">GSTR-1 Summary — September 2026</t>
  </si>
  <si>
    <t xml:space="preserve">Particulars</t>
  </si>
  <si>
    <t xml:space="preserve">Amount</t>
  </si>
  <si>
    <t xml:space="preserve">Number of invoices</t>
  </si>
  <si>
    <t xml:space="preserve">Total taxable value (₹)</t>
  </si>
  <si>
    <t xml:space="preserve">Taxable value @ 5% (₹)</t>
  </si>
  <si>
    <t xml:space="preserve">Taxable value @ 18% (₹)</t>
  </si>
  <si>
    <t xml:space="preserve">Total GST payable (₹)</t>
  </si>
  <si>
    <t xml:space="preserve">Total invoice value (₹)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</si>
</sst>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[&gt;=10000000]##\,##\,##\,##0.00;[&gt;=100000]##\,##\,##0.00;##,##0.00"/>
    <numFmt numFmtId="167" formatCode="0%"/>
    <numFmt numFmtId="168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9"/>
    <col collapsed="false" customWidth="true" hidden="false" outlineLevel="0" max="5" min="5" style="0" width="28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7"/>
    <col collapsed="false" customWidth="true" hidden="false" outlineLevel="0" max="10" min="10" style="0" width="8"/>
    <col collapsed="false" customWidth="true" hidden="false" outlineLevel="0" max="11" min="11" style="0" width="15"/>
    <col collapsed="false" customWidth="true" hidden="false" outlineLevel="0" max="12" min="12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n">
        <v>46266</v>
      </c>
      <c r="C5" s="4" t="s">
        <v>15</v>
      </c>
      <c r="D5" s="4" t="s">
        <v>16</v>
      </c>
      <c r="E5" s="4" t="s">
        <v>17</v>
      </c>
      <c r="F5" s="4" t="s">
        <v>18</v>
      </c>
      <c r="G5" s="4" t="n">
        <v>40</v>
      </c>
      <c r="H5" s="6" t="n">
        <v>1250</v>
      </c>
      <c r="I5" s="6" t="n">
        <f aca="false">G5*H5</f>
        <v>50000</v>
      </c>
      <c r="J5" s="7" t="n">
        <v>0.05</v>
      </c>
      <c r="K5" s="6" t="n">
        <f aca="false">I5*J5</f>
        <v>2500</v>
      </c>
      <c r="L5" s="6" t="n">
        <f aca="false">I5+K5</f>
        <v>52500</v>
      </c>
    </row>
    <row r="6" customFormat="false" ht="15" hidden="false" customHeight="false" outlineLevel="0" collapsed="false">
      <c r="A6" s="4" t="s">
        <v>19</v>
      </c>
      <c r="B6" s="5" t="n">
        <v>46267</v>
      </c>
      <c r="C6" s="4" t="s">
        <v>20</v>
      </c>
      <c r="D6" s="4" t="s">
        <v>21</v>
      </c>
      <c r="E6" s="4" t="s">
        <v>22</v>
      </c>
      <c r="F6" s="4" t="s">
        <v>23</v>
      </c>
      <c r="G6" s="4" t="n">
        <v>150</v>
      </c>
      <c r="H6" s="6" t="n">
        <v>38</v>
      </c>
      <c r="I6" s="6" t="n">
        <f aca="false">G6*H6</f>
        <v>5700</v>
      </c>
      <c r="J6" s="7" t="n">
        <v>0.18</v>
      </c>
      <c r="K6" s="6" t="n">
        <f aca="false">I6*J6</f>
        <v>1026</v>
      </c>
      <c r="L6" s="6" t="n">
        <f aca="false">I6+K6</f>
        <v>6726</v>
      </c>
    </row>
    <row r="7" customFormat="false" ht="15" hidden="false" customHeight="false" outlineLevel="0" collapsed="false">
      <c r="A7" s="4" t="s">
        <v>24</v>
      </c>
      <c r="B7" s="5" t="n">
        <v>46268</v>
      </c>
      <c r="C7" s="4" t="s">
        <v>25</v>
      </c>
      <c r="D7" s="4" t="s">
        <v>26</v>
      </c>
      <c r="E7" s="4" t="s">
        <v>27</v>
      </c>
      <c r="F7" s="4" t="s">
        <v>28</v>
      </c>
      <c r="G7" s="4" t="n">
        <v>30</v>
      </c>
      <c r="H7" s="6" t="n">
        <v>1890</v>
      </c>
      <c r="I7" s="6" t="n">
        <f aca="false">G7*H7</f>
        <v>56700</v>
      </c>
      <c r="J7" s="7" t="n">
        <v>0.18</v>
      </c>
      <c r="K7" s="6" t="n">
        <f aca="false">I7*J7</f>
        <v>10206</v>
      </c>
      <c r="L7" s="6" t="n">
        <f aca="false">I7+K7</f>
        <v>66906</v>
      </c>
    </row>
    <row r="8" customFormat="false" ht="15" hidden="false" customHeight="false" outlineLevel="0" collapsed="false">
      <c r="A8" s="4" t="s">
        <v>29</v>
      </c>
      <c r="B8" s="5" t="n">
        <v>46269</v>
      </c>
      <c r="C8" s="4" t="s">
        <v>30</v>
      </c>
      <c r="D8" s="4" t="s">
        <v>31</v>
      </c>
      <c r="E8" s="4" t="s">
        <v>32</v>
      </c>
      <c r="F8" s="4" t="s">
        <v>33</v>
      </c>
      <c r="G8" s="4" t="n">
        <v>8</v>
      </c>
      <c r="H8" s="6" t="n">
        <v>145</v>
      </c>
      <c r="I8" s="6" t="n">
        <f aca="false">G8*H8</f>
        <v>1160</v>
      </c>
      <c r="J8" s="7" t="n">
        <v>0.18</v>
      </c>
      <c r="K8" s="6" t="n">
        <f aca="false">I8*J8</f>
        <v>208.8</v>
      </c>
      <c r="L8" s="6" t="n">
        <f aca="false">I8+K8</f>
        <v>1368.8</v>
      </c>
    </row>
    <row r="9" customFormat="false" ht="15" hidden="false" customHeight="false" outlineLevel="0" collapsed="false">
      <c r="A9" s="4" t="s">
        <v>34</v>
      </c>
      <c r="B9" s="5" t="n">
        <v>46270</v>
      </c>
      <c r="C9" s="4" t="s">
        <v>35</v>
      </c>
      <c r="D9" s="4" t="s">
        <v>36</v>
      </c>
      <c r="E9" s="4" t="s">
        <v>37</v>
      </c>
      <c r="F9" s="4" t="s">
        <v>38</v>
      </c>
      <c r="G9" s="4" t="n">
        <v>60</v>
      </c>
      <c r="H9" s="6" t="n">
        <v>5650</v>
      </c>
      <c r="I9" s="6" t="n">
        <f aca="false">G9*H9</f>
        <v>339000</v>
      </c>
      <c r="J9" s="7" t="n">
        <v>0.18</v>
      </c>
      <c r="K9" s="6" t="n">
        <f aca="false">I9*J9</f>
        <v>61020</v>
      </c>
      <c r="L9" s="6" t="n">
        <f aca="false">I9+K9</f>
        <v>400020</v>
      </c>
    </row>
    <row r="10" customFormat="false" ht="15" hidden="false" customHeight="false" outlineLevel="0" collapsed="false">
      <c r="A10" s="4" t="s">
        <v>39</v>
      </c>
      <c r="B10" s="5" t="n">
        <v>46271</v>
      </c>
      <c r="C10" s="4" t="s">
        <v>40</v>
      </c>
      <c r="D10" s="4" t="s">
        <v>41</v>
      </c>
      <c r="E10" s="4" t="s">
        <v>42</v>
      </c>
      <c r="F10" s="4" t="s">
        <v>43</v>
      </c>
      <c r="G10" s="4" t="n">
        <v>35</v>
      </c>
      <c r="H10" s="6" t="n">
        <v>780</v>
      </c>
      <c r="I10" s="6" t="n">
        <f aca="false">G10*H10</f>
        <v>27300</v>
      </c>
      <c r="J10" s="7" t="n">
        <v>0.18</v>
      </c>
      <c r="K10" s="6" t="n">
        <f aca="false">I10*J10</f>
        <v>4914</v>
      </c>
      <c r="L10" s="6" t="n">
        <f aca="false">I10+K10</f>
        <v>32214</v>
      </c>
    </row>
    <row r="11" customFormat="false" ht="15" hidden="false" customHeight="false" outlineLevel="0" collapsed="false">
      <c r="A11" s="4" t="s">
        <v>44</v>
      </c>
      <c r="B11" s="5" t="n">
        <v>46272</v>
      </c>
      <c r="C11" s="4" t="s">
        <v>45</v>
      </c>
      <c r="D11" s="4" t="s">
        <v>46</v>
      </c>
      <c r="E11" s="4" t="s">
        <v>47</v>
      </c>
      <c r="F11" s="4" t="s">
        <v>48</v>
      </c>
      <c r="G11" s="4" t="n">
        <v>18</v>
      </c>
      <c r="H11" s="6" t="n">
        <v>96</v>
      </c>
      <c r="I11" s="6" t="n">
        <f aca="false">G11*H11</f>
        <v>1728</v>
      </c>
      <c r="J11" s="7" t="n">
        <v>0.18</v>
      </c>
      <c r="K11" s="6" t="n">
        <f aca="false">I11*J11</f>
        <v>311.04</v>
      </c>
      <c r="L11" s="6" t="n">
        <f aca="false">I11+K11</f>
        <v>2039.04</v>
      </c>
    </row>
    <row r="12" customFormat="false" ht="15" hidden="false" customHeight="false" outlineLevel="0" collapsed="false">
      <c r="A12" s="4" t="s">
        <v>49</v>
      </c>
      <c r="B12" s="5" t="n">
        <v>46273</v>
      </c>
      <c r="C12" s="4" t="s">
        <v>50</v>
      </c>
      <c r="D12" s="4" t="s">
        <v>51</v>
      </c>
      <c r="E12" s="4" t="s">
        <v>52</v>
      </c>
      <c r="F12" s="4" t="s">
        <v>53</v>
      </c>
      <c r="G12" s="4" t="n">
        <v>45</v>
      </c>
      <c r="H12" s="6" t="n">
        <v>420</v>
      </c>
      <c r="I12" s="6" t="n">
        <f aca="false">G12*H12</f>
        <v>18900</v>
      </c>
      <c r="J12" s="7" t="n">
        <v>0.18</v>
      </c>
      <c r="K12" s="6" t="n">
        <f aca="false">I12*J12</f>
        <v>3402</v>
      </c>
      <c r="L12" s="6" t="n">
        <f aca="false">I12+K12</f>
        <v>22302</v>
      </c>
    </row>
    <row r="13" customFormat="false" ht="15" hidden="false" customHeight="false" outlineLevel="0" collapsed="false">
      <c r="A13" s="4" t="s">
        <v>54</v>
      </c>
      <c r="B13" s="5" t="n">
        <v>46274</v>
      </c>
      <c r="C13" s="4" t="s">
        <v>15</v>
      </c>
      <c r="D13" s="4" t="s">
        <v>16</v>
      </c>
      <c r="E13" s="4" t="s">
        <v>17</v>
      </c>
      <c r="F13" s="4" t="s">
        <v>18</v>
      </c>
      <c r="G13" s="4" t="n">
        <v>22</v>
      </c>
      <c r="H13" s="6" t="n">
        <v>1250</v>
      </c>
      <c r="I13" s="6" t="n">
        <f aca="false">G13*H13</f>
        <v>27500</v>
      </c>
      <c r="J13" s="7" t="n">
        <v>0.05</v>
      </c>
      <c r="K13" s="6" t="n">
        <f aca="false">I13*J13</f>
        <v>1375</v>
      </c>
      <c r="L13" s="6" t="n">
        <f aca="false">I13+K13</f>
        <v>28875</v>
      </c>
    </row>
    <row r="14" customFormat="false" ht="15" hidden="false" customHeight="false" outlineLevel="0" collapsed="false">
      <c r="A14" s="4" t="s">
        <v>55</v>
      </c>
      <c r="B14" s="5" t="n">
        <v>46275</v>
      </c>
      <c r="C14" s="4" t="s">
        <v>20</v>
      </c>
      <c r="D14" s="4" t="s">
        <v>21</v>
      </c>
      <c r="E14" s="4" t="s">
        <v>22</v>
      </c>
      <c r="F14" s="4" t="s">
        <v>23</v>
      </c>
      <c r="G14" s="4" t="n">
        <v>12</v>
      </c>
      <c r="H14" s="6" t="n">
        <v>38</v>
      </c>
      <c r="I14" s="6" t="n">
        <f aca="false">G14*H14</f>
        <v>456</v>
      </c>
      <c r="J14" s="7" t="n">
        <v>0.18</v>
      </c>
      <c r="K14" s="6" t="n">
        <f aca="false">I14*J14</f>
        <v>82.08</v>
      </c>
      <c r="L14" s="6" t="n">
        <f aca="false">I14+K14</f>
        <v>538.08</v>
      </c>
    </row>
    <row r="15" customFormat="false" ht="15" hidden="false" customHeight="false" outlineLevel="0" collapsed="false">
      <c r="A15" s="4" t="s">
        <v>56</v>
      </c>
      <c r="B15" s="5" t="n">
        <v>46276</v>
      </c>
      <c r="C15" s="4" t="s">
        <v>25</v>
      </c>
      <c r="D15" s="4" t="s">
        <v>26</v>
      </c>
      <c r="E15" s="4" t="s">
        <v>27</v>
      </c>
      <c r="F15" s="4" t="s">
        <v>28</v>
      </c>
      <c r="G15" s="4" t="n">
        <v>40</v>
      </c>
      <c r="H15" s="6" t="n">
        <v>1890</v>
      </c>
      <c r="I15" s="6" t="n">
        <f aca="false">G15*H15</f>
        <v>75600</v>
      </c>
      <c r="J15" s="7" t="n">
        <v>0.18</v>
      </c>
      <c r="K15" s="6" t="n">
        <f aca="false">I15*J15</f>
        <v>13608</v>
      </c>
      <c r="L15" s="6" t="n">
        <f aca="false">I15+K15</f>
        <v>89208</v>
      </c>
    </row>
    <row r="16" customFormat="false" ht="15" hidden="false" customHeight="false" outlineLevel="0" collapsed="false">
      <c r="A16" s="4" t="s">
        <v>57</v>
      </c>
      <c r="B16" s="5" t="n">
        <v>46277</v>
      </c>
      <c r="C16" s="4" t="s">
        <v>30</v>
      </c>
      <c r="D16" s="4" t="s">
        <v>31</v>
      </c>
      <c r="E16" s="4" t="s">
        <v>32</v>
      </c>
      <c r="F16" s="4" t="s">
        <v>33</v>
      </c>
      <c r="G16" s="4" t="n">
        <v>150</v>
      </c>
      <c r="H16" s="6" t="n">
        <v>145</v>
      </c>
      <c r="I16" s="6" t="n">
        <f aca="false">G16*H16</f>
        <v>21750</v>
      </c>
      <c r="J16" s="7" t="n">
        <v>0.18</v>
      </c>
      <c r="K16" s="6" t="n">
        <f aca="false">I16*J16</f>
        <v>3915</v>
      </c>
      <c r="L16" s="6" t="n">
        <f aca="false">I16+K16</f>
        <v>25665</v>
      </c>
    </row>
    <row r="17" customFormat="false" ht="15" hidden="false" customHeight="false" outlineLevel="0" collapsed="false">
      <c r="A17" s="4" t="s">
        <v>58</v>
      </c>
      <c r="B17" s="5" t="n">
        <v>46279</v>
      </c>
      <c r="C17" s="4" t="s">
        <v>40</v>
      </c>
      <c r="D17" s="4" t="s">
        <v>41</v>
      </c>
      <c r="E17" s="4" t="s">
        <v>42</v>
      </c>
      <c r="F17" s="4" t="s">
        <v>43</v>
      </c>
      <c r="G17" s="4" t="n">
        <v>8</v>
      </c>
      <c r="H17" s="6" t="n">
        <v>780</v>
      </c>
      <c r="I17" s="6" t="n">
        <f aca="false">G17*H17</f>
        <v>6240</v>
      </c>
      <c r="J17" s="7" t="n">
        <v>0.18</v>
      </c>
      <c r="K17" s="6" t="n">
        <f aca="false">I17*J17</f>
        <v>1123.2</v>
      </c>
      <c r="L17" s="6" t="n">
        <f aca="false">I17+K17</f>
        <v>7363.2</v>
      </c>
    </row>
    <row r="18" customFormat="false" ht="15" hidden="false" customHeight="false" outlineLevel="0" collapsed="false">
      <c r="A18" s="4" t="s">
        <v>59</v>
      </c>
      <c r="B18" s="5" t="n">
        <v>46280</v>
      </c>
      <c r="C18" s="4" t="s">
        <v>45</v>
      </c>
      <c r="D18" s="4" t="s">
        <v>46</v>
      </c>
      <c r="E18" s="4" t="s">
        <v>47</v>
      </c>
      <c r="F18" s="4" t="s">
        <v>48</v>
      </c>
      <c r="G18" s="4" t="n">
        <v>60</v>
      </c>
      <c r="H18" s="6" t="n">
        <v>96</v>
      </c>
      <c r="I18" s="6" t="n">
        <f aca="false">G18*H18</f>
        <v>5760</v>
      </c>
      <c r="J18" s="7" t="n">
        <v>0.18</v>
      </c>
      <c r="K18" s="6" t="n">
        <f aca="false">I18*J18</f>
        <v>1036.8</v>
      </c>
      <c r="L18" s="6" t="n">
        <f aca="false">I18+K18</f>
        <v>6796.8</v>
      </c>
    </row>
    <row r="19" customFormat="false" ht="15" hidden="false" customHeight="false" outlineLevel="0" collapsed="false">
      <c r="A19" s="4" t="s">
        <v>60</v>
      </c>
      <c r="B19" s="5" t="n">
        <v>46281</v>
      </c>
      <c r="C19" s="4" t="s">
        <v>50</v>
      </c>
      <c r="D19" s="4" t="s">
        <v>51</v>
      </c>
      <c r="E19" s="4" t="s">
        <v>52</v>
      </c>
      <c r="F19" s="4" t="s">
        <v>53</v>
      </c>
      <c r="G19" s="4" t="n">
        <v>35</v>
      </c>
      <c r="H19" s="6" t="n">
        <v>440</v>
      </c>
      <c r="I19" s="6" t="n">
        <f aca="false">G19*H19</f>
        <v>15400</v>
      </c>
      <c r="J19" s="7" t="n">
        <v>0.18</v>
      </c>
      <c r="K19" s="6" t="n">
        <f aca="false">I19*J19</f>
        <v>2772</v>
      </c>
      <c r="L19" s="6" t="n">
        <f aca="false">I19+K19</f>
        <v>18172</v>
      </c>
    </row>
    <row r="20" customFormat="false" ht="15" hidden="false" customHeight="false" outlineLevel="0" collapsed="false">
      <c r="A20" s="4" t="s">
        <v>61</v>
      </c>
      <c r="B20" s="5" t="n">
        <v>46282</v>
      </c>
      <c r="C20" s="4" t="s">
        <v>15</v>
      </c>
      <c r="D20" s="4" t="s">
        <v>16</v>
      </c>
      <c r="E20" s="4" t="s">
        <v>17</v>
      </c>
      <c r="F20" s="4" t="s">
        <v>18</v>
      </c>
      <c r="G20" s="4" t="n">
        <v>18</v>
      </c>
      <c r="H20" s="6" t="n">
        <v>1250</v>
      </c>
      <c r="I20" s="6" t="n">
        <f aca="false">G20*H20</f>
        <v>22500</v>
      </c>
      <c r="J20" s="7" t="n">
        <v>0.05</v>
      </c>
      <c r="K20" s="6" t="n">
        <f aca="false">I20*J20</f>
        <v>1125</v>
      </c>
      <c r="L20" s="6" t="n">
        <f aca="false">I20+K20</f>
        <v>23625</v>
      </c>
    </row>
    <row r="21" customFormat="false" ht="15" hidden="false" customHeight="false" outlineLevel="0" collapsed="false">
      <c r="A21" s="4" t="s">
        <v>62</v>
      </c>
      <c r="B21" s="5" t="n">
        <v>46283</v>
      </c>
      <c r="C21" s="4" t="s">
        <v>20</v>
      </c>
      <c r="D21" s="4" t="s">
        <v>21</v>
      </c>
      <c r="E21" s="4" t="s">
        <v>22</v>
      </c>
      <c r="F21" s="4" t="s">
        <v>23</v>
      </c>
      <c r="G21" s="4" t="n">
        <v>90</v>
      </c>
      <c r="H21" s="6" t="n">
        <v>38</v>
      </c>
      <c r="I21" s="6" t="n">
        <f aca="false">G21*H21</f>
        <v>3420</v>
      </c>
      <c r="J21" s="7" t="n">
        <v>0.18</v>
      </c>
      <c r="K21" s="6" t="n">
        <f aca="false">I21*J21</f>
        <v>615.6</v>
      </c>
      <c r="L21" s="6" t="n">
        <f aca="false">I21+K21</f>
        <v>4035.6</v>
      </c>
    </row>
    <row r="22" customFormat="false" ht="15" hidden="false" customHeight="false" outlineLevel="0" collapsed="false">
      <c r="A22" s="4" t="s">
        <v>63</v>
      </c>
      <c r="B22" s="5" t="n">
        <v>46285</v>
      </c>
      <c r="C22" s="4" t="s">
        <v>30</v>
      </c>
      <c r="D22" s="4" t="s">
        <v>31</v>
      </c>
      <c r="E22" s="4" t="s">
        <v>32</v>
      </c>
      <c r="F22" s="4" t="s">
        <v>33</v>
      </c>
      <c r="G22" s="4" t="n">
        <v>12</v>
      </c>
      <c r="H22" s="6" t="n">
        <v>145</v>
      </c>
      <c r="I22" s="6" t="n">
        <f aca="false">G22*H22</f>
        <v>1740</v>
      </c>
      <c r="J22" s="7" t="n">
        <v>0.18</v>
      </c>
      <c r="K22" s="6" t="n">
        <f aca="false">I22*J22</f>
        <v>313.2</v>
      </c>
      <c r="L22" s="6" t="n">
        <f aca="false">I22+K22</f>
        <v>2053.2</v>
      </c>
    </row>
    <row r="23" customFormat="false" ht="15" hidden="false" customHeight="false" outlineLevel="0" collapsed="false">
      <c r="A23" s="4" t="s">
        <v>64</v>
      </c>
      <c r="B23" s="5" t="n">
        <v>46286</v>
      </c>
      <c r="C23" s="4" t="s">
        <v>35</v>
      </c>
      <c r="D23" s="4" t="s">
        <v>36</v>
      </c>
      <c r="E23" s="4" t="s">
        <v>37</v>
      </c>
      <c r="F23" s="4" t="s">
        <v>38</v>
      </c>
      <c r="G23" s="4" t="n">
        <v>40</v>
      </c>
      <c r="H23" s="6" t="n">
        <v>5650</v>
      </c>
      <c r="I23" s="6" t="n">
        <f aca="false">G23*H23</f>
        <v>226000</v>
      </c>
      <c r="J23" s="7" t="n">
        <v>0.18</v>
      </c>
      <c r="K23" s="6" t="n">
        <f aca="false">I23*J23</f>
        <v>40680</v>
      </c>
      <c r="L23" s="6" t="n">
        <f aca="false">I23+K23</f>
        <v>266680</v>
      </c>
    </row>
    <row r="24" customFormat="false" ht="15" hidden="false" customHeight="false" outlineLevel="0" collapsed="false">
      <c r="A24" s="4" t="s">
        <v>65</v>
      </c>
      <c r="B24" s="5" t="n">
        <v>46287</v>
      </c>
      <c r="C24" s="4" t="s">
        <v>40</v>
      </c>
      <c r="D24" s="4" t="s">
        <v>41</v>
      </c>
      <c r="E24" s="4" t="s">
        <v>42</v>
      </c>
      <c r="F24" s="4" t="s">
        <v>43</v>
      </c>
      <c r="G24" s="4" t="n">
        <v>150</v>
      </c>
      <c r="H24" s="6" t="n">
        <v>780</v>
      </c>
      <c r="I24" s="6" t="n">
        <f aca="false">G24*H24</f>
        <v>117000</v>
      </c>
      <c r="J24" s="7" t="n">
        <v>0.05</v>
      </c>
      <c r="K24" s="6" t="n">
        <f aca="false">I24*J24</f>
        <v>5850</v>
      </c>
      <c r="L24" s="6" t="n">
        <f aca="false">I24+K24</f>
        <v>122850</v>
      </c>
    </row>
    <row r="25" customFormat="false" ht="15" hidden="false" customHeight="false" outlineLevel="0" collapsed="false">
      <c r="A25" s="4" t="s">
        <v>66</v>
      </c>
      <c r="B25" s="5" t="n">
        <v>46288</v>
      </c>
      <c r="C25" s="4" t="s">
        <v>45</v>
      </c>
      <c r="D25" s="4" t="s">
        <v>46</v>
      </c>
      <c r="E25" s="4" t="s">
        <v>47</v>
      </c>
      <c r="F25" s="4" t="s">
        <v>48</v>
      </c>
      <c r="G25" s="4" t="n">
        <v>25</v>
      </c>
      <c r="H25" s="6" t="n">
        <v>96</v>
      </c>
      <c r="I25" s="6" t="n">
        <f aca="false">G25*H25</f>
        <v>2400</v>
      </c>
      <c r="J25" s="7" t="n">
        <v>0.18</v>
      </c>
      <c r="K25" s="6" t="n">
        <f aca="false">I25*J25</f>
        <v>432</v>
      </c>
      <c r="L25" s="6" t="n">
        <f aca="false">I25+K25</f>
        <v>2832</v>
      </c>
    </row>
    <row r="26" customFormat="false" ht="15" hidden="false" customHeight="false" outlineLevel="0" collapsed="false">
      <c r="A26" s="4" t="s">
        <v>67</v>
      </c>
      <c r="B26" s="5" t="n">
        <v>46289</v>
      </c>
      <c r="C26" s="4" t="s">
        <v>50</v>
      </c>
      <c r="D26" s="4" t="s">
        <v>51</v>
      </c>
      <c r="E26" s="4" t="s">
        <v>52</v>
      </c>
      <c r="F26" s="4" t="s">
        <v>53</v>
      </c>
      <c r="G26" s="4" t="n">
        <v>8</v>
      </c>
      <c r="H26" s="6" t="n">
        <v>420</v>
      </c>
      <c r="I26" s="6" t="n">
        <f aca="false">G26*H26</f>
        <v>3360</v>
      </c>
      <c r="J26" s="7" t="n">
        <v>0.18</v>
      </c>
      <c r="K26" s="6" t="n">
        <f aca="false">I26*J26</f>
        <v>604.8</v>
      </c>
      <c r="L26" s="6" t="n">
        <f aca="false">I26+K26</f>
        <v>3964.8</v>
      </c>
    </row>
    <row r="27" customFormat="false" ht="15" hidden="false" customHeight="false" outlineLevel="0" collapsed="false">
      <c r="A27" s="4" t="s">
        <v>68</v>
      </c>
      <c r="B27" s="5" t="n">
        <v>46290</v>
      </c>
      <c r="C27" s="4" t="s">
        <v>15</v>
      </c>
      <c r="D27" s="4" t="s">
        <v>16</v>
      </c>
      <c r="E27" s="4" t="s">
        <v>17</v>
      </c>
      <c r="F27" s="4" t="s">
        <v>18</v>
      </c>
      <c r="G27" s="4" t="n">
        <v>60</v>
      </c>
      <c r="H27" s="6" t="n">
        <v>1250</v>
      </c>
      <c r="I27" s="6" t="n">
        <f aca="false">G27*H27</f>
        <v>75000</v>
      </c>
      <c r="J27" s="7" t="n">
        <v>0.05</v>
      </c>
      <c r="K27" s="6" t="n">
        <f aca="false">I27*J27</f>
        <v>3750</v>
      </c>
      <c r="L27" s="6" t="n">
        <f aca="false">I27+K27</f>
        <v>78750</v>
      </c>
    </row>
    <row r="28" customFormat="false" ht="15" hidden="false" customHeight="false" outlineLevel="0" collapsed="false">
      <c r="A28" s="4" t="s">
        <v>69</v>
      </c>
      <c r="B28" s="5" t="n">
        <v>46291</v>
      </c>
      <c r="C28" s="4" t="s">
        <v>20</v>
      </c>
      <c r="D28" s="4" t="s">
        <v>21</v>
      </c>
      <c r="E28" s="4" t="s">
        <v>22</v>
      </c>
      <c r="F28" s="4" t="s">
        <v>23</v>
      </c>
      <c r="G28" s="4" t="n">
        <v>35</v>
      </c>
      <c r="H28" s="6" t="n">
        <v>38</v>
      </c>
      <c r="I28" s="6" t="n">
        <f aca="false">G28*H28</f>
        <v>1330</v>
      </c>
      <c r="J28" s="7" t="n">
        <v>0.18</v>
      </c>
      <c r="K28" s="6" t="n">
        <f aca="false">I28*J28</f>
        <v>239.4</v>
      </c>
      <c r="L28" s="6" t="n">
        <f aca="false">I28+K28</f>
        <v>1569.4</v>
      </c>
    </row>
    <row r="29" customFormat="false" ht="15" hidden="false" customHeight="false" outlineLevel="0" collapsed="false">
      <c r="A29" s="4" t="s">
        <v>70</v>
      </c>
      <c r="B29" s="5" t="n">
        <v>46292</v>
      </c>
      <c r="C29" s="4" t="s">
        <v>25</v>
      </c>
      <c r="D29" s="4" t="s">
        <v>26</v>
      </c>
      <c r="E29" s="4" t="s">
        <v>27</v>
      </c>
      <c r="F29" s="4" t="s">
        <v>28</v>
      </c>
      <c r="G29" s="4" t="n">
        <v>18</v>
      </c>
      <c r="H29" s="6" t="n">
        <v>1890</v>
      </c>
      <c r="I29" s="6" t="n">
        <f aca="false">G29*H29</f>
        <v>34020</v>
      </c>
      <c r="J29" s="7" t="n">
        <v>0.18</v>
      </c>
      <c r="K29" s="6" t="n">
        <f aca="false">I29*J29</f>
        <v>6123.6</v>
      </c>
      <c r="L29" s="6" t="n">
        <f aca="false">I29+K29</f>
        <v>40143.6</v>
      </c>
    </row>
    <row r="30" customFormat="false" ht="15" hidden="false" customHeight="false" outlineLevel="0" collapsed="false">
      <c r="A30" s="4" t="s">
        <v>71</v>
      </c>
      <c r="B30" s="5" t="n">
        <v>46293</v>
      </c>
      <c r="C30" s="4" t="s">
        <v>30</v>
      </c>
      <c r="D30" s="4" t="s">
        <v>31</v>
      </c>
      <c r="E30" s="4" t="s">
        <v>32</v>
      </c>
      <c r="F30" s="4" t="s">
        <v>33</v>
      </c>
      <c r="G30" s="4" t="n">
        <v>90</v>
      </c>
      <c r="H30" s="6" t="n">
        <v>145</v>
      </c>
      <c r="I30" s="6" t="n">
        <f aca="false">G30*H30</f>
        <v>13050</v>
      </c>
      <c r="J30" s="7" t="n">
        <v>0.18</v>
      </c>
      <c r="K30" s="6" t="n">
        <f aca="false">I30*J30</f>
        <v>2349</v>
      </c>
      <c r="L30" s="6" t="n">
        <f aca="false">I30+K30</f>
        <v>15399</v>
      </c>
    </row>
    <row r="31" customFormat="false" ht="15" hidden="false" customHeight="false" outlineLevel="0" collapsed="false">
      <c r="A31" s="4" t="s">
        <v>72</v>
      </c>
      <c r="B31" s="5" t="n">
        <v>46294</v>
      </c>
      <c r="C31" s="4" t="s">
        <v>35</v>
      </c>
      <c r="D31" s="4" t="s">
        <v>36</v>
      </c>
      <c r="E31" s="4" t="s">
        <v>37</v>
      </c>
      <c r="F31" s="4" t="s">
        <v>38</v>
      </c>
      <c r="G31" s="4" t="n">
        <v>22</v>
      </c>
      <c r="H31" s="6" t="n">
        <v>5650</v>
      </c>
      <c r="I31" s="6" t="n">
        <f aca="false">G31*H31</f>
        <v>124300</v>
      </c>
      <c r="J31" s="7" t="n">
        <v>0.18</v>
      </c>
      <c r="K31" s="6" t="n">
        <f aca="false">I31*J31</f>
        <v>22374</v>
      </c>
      <c r="L31" s="6" t="n">
        <f aca="false">I31+K31</f>
        <v>146674</v>
      </c>
    </row>
    <row r="32" customFormat="false" ht="15" hidden="false" customHeight="false" outlineLevel="0" collapsed="false">
      <c r="A32" s="4" t="s">
        <v>73</v>
      </c>
      <c r="B32" s="5" t="n">
        <v>46295</v>
      </c>
      <c r="C32" s="4" t="s">
        <v>40</v>
      </c>
      <c r="D32" s="4" t="s">
        <v>41</v>
      </c>
      <c r="E32" s="4" t="s">
        <v>42</v>
      </c>
      <c r="F32" s="4" t="s">
        <v>43</v>
      </c>
      <c r="G32" s="4" t="n">
        <v>12</v>
      </c>
      <c r="H32" s="6" t="n">
        <v>780</v>
      </c>
      <c r="I32" s="6" t="n">
        <f aca="false">G32*H32</f>
        <v>9360</v>
      </c>
      <c r="J32" s="7" t="n">
        <v>0.18</v>
      </c>
      <c r="K32" s="6" t="n">
        <f aca="false">I32*J32</f>
        <v>1684.8</v>
      </c>
      <c r="L32" s="6" t="n">
        <f aca="false">I32+K32</f>
        <v>11044.8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74</v>
      </c>
    </row>
    <row r="3" customFormat="false" ht="15" hidden="false" customHeight="false" outlineLevel="0" collapsed="false">
      <c r="A3" s="8" t="s">
        <v>75</v>
      </c>
      <c r="B3" s="8" t="s">
        <v>76</v>
      </c>
    </row>
    <row r="4" customFormat="false" ht="15" hidden="false" customHeight="false" outlineLevel="0" collapsed="false">
      <c r="A4" s="4" t="s">
        <v>77</v>
      </c>
      <c r="B4" s="9" t="n">
        <f aca="false">COUNTA('Sales Register'!A5:A32)</f>
        <v>28</v>
      </c>
    </row>
    <row r="5" customFormat="false" ht="15" hidden="false" customHeight="false" outlineLevel="0" collapsed="false">
      <c r="A5" s="4" t="s">
        <v>78</v>
      </c>
      <c r="B5" s="6" t="n">
        <f aca="false">SUM('Sales Register'!I5:I32)</f>
        <v>1286674</v>
      </c>
    </row>
    <row r="6" customFormat="false" ht="15" hidden="false" customHeight="false" outlineLevel="0" collapsed="false">
      <c r="A6" s="4" t="s">
        <v>79</v>
      </c>
      <c r="B6" s="6" t="n">
        <f aca="false">SUMIF('Sales Register'!J5:J32,0.05,'Sales Register'!I5:I32)</f>
        <v>292000</v>
      </c>
    </row>
    <row r="7" customFormat="false" ht="15" hidden="false" customHeight="false" outlineLevel="0" collapsed="false">
      <c r="A7" s="4" t="s">
        <v>80</v>
      </c>
      <c r="B7" s="6" t="n">
        <f aca="false">SUMIF('Sales Register'!J5:J32,0.18,'Sales Register'!I5:I32)</f>
        <v>994674</v>
      </c>
    </row>
    <row r="8" customFormat="false" ht="15" hidden="false" customHeight="false" outlineLevel="0" collapsed="false">
      <c r="A8" s="4" t="s">
        <v>81</v>
      </c>
      <c r="B8" s="10" t="n">
        <f aca="false">SUM('Sales Register'!K5:K32)</f>
        <v>193641.32</v>
      </c>
    </row>
    <row r="9" customFormat="false" ht="15" hidden="false" customHeight="false" outlineLevel="0" collapsed="false">
      <c r="A9" s="4" t="s">
        <v>82</v>
      </c>
      <c r="B9" s="6" t="n">
        <f aca="false">SUM('Sales Register'!L5:L32)</f>
        <v>1480315.32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2026-10-08T03:07:02Z</dcterms:created>
  <dc:creator>openpyxl</dc:creator>
  <dc:description/>
  <dc:language>en-US</dc:language>
  <cp:lastModifiedBy/>
  <dcterms:modified xsi:type="dcterms:W3CDTF">2026-10-08T03:07:02Z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